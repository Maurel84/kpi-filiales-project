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57480" yWindow="1530" windowWidth="29040" windowHeight="15720" tabRatio="837" firstSheet="1" activeTab="1"/>
  </bookViews>
  <sheets>
    <sheet name="B2026" sheetId="63" r:id="rId1"/>
    <sheet name="DRAFT - KPI's MANUTENTION ET AG" sheetId="55" r:id="rId2"/>
    <sheet name="KPI_VENDEUR 1" sheetId="41" r:id="rId3"/>
    <sheet name="KPI_VENDEUR 2" sheetId="52" r:id="rId4"/>
    <sheet name="KPI_VENDEUR 3" sheetId="61" r:id="rId5"/>
    <sheet name="KPI_VENDEUR 4" sheetId="60" r:id="rId6"/>
    <sheet name="KPI_VENDEUR 5" sheetId="58" r:id="rId7"/>
    <sheet name="VISITES CLIENTS" sheetId="64" r:id="rId8"/>
    <sheet name="ETAT_VENTES" sheetId="39" r:id="rId9"/>
    <sheet name="ETAT_CC" sheetId="42" r:id="rId10"/>
    <sheet name="ETAT_CF" sheetId="53" r:id="rId11"/>
    <sheet name="ETAT-Stock" sheetId="62" r:id="rId12"/>
    <sheet name="Pipe Opportunité" sheetId="45" r:id="rId13"/>
    <sheet name="Lost Sales" sheetId="54" r:id="rId14"/>
    <sheet name="EXAMEN SEPT 2025" sheetId="43" r:id="rId15"/>
    <sheet name="SN" sheetId="56" state="hidden" r:id="rId16"/>
    <sheet name="FORECAST" sheetId="44" r:id="rId17"/>
    <sheet name="Plan d'action" sheetId="59" r:id="rId18"/>
    <sheet name="LISTE" sheetId="40" r:id="rId19"/>
  </sheets>
  <definedNames>
    <definedName name="_xlnm._FilterDatabase" localSheetId="0" hidden="1">'B2026'!$A$3:$S$95</definedName>
    <definedName name="_xlnm._FilterDatabase" localSheetId="9" hidden="1">ETAT_CC!$A$2:$L$25</definedName>
    <definedName name="_xlnm._FilterDatabase" localSheetId="10" hidden="1">ETAT_CF!$A$2:$G$2</definedName>
    <definedName name="_xlnm._FilterDatabase" localSheetId="8" hidden="1">ETAT_VENTES!$A$2:$J$73</definedName>
    <definedName name="_xlnm._FilterDatabase" localSheetId="14" hidden="1">'EXAMEN SEPT 2025'!$A$2:$AC$221</definedName>
    <definedName name="_xlnm._FilterDatabase" localSheetId="16" hidden="1">FORECAST!$A$5:$X$501</definedName>
    <definedName name="_xlnm._FilterDatabase" localSheetId="13" hidden="1">'Lost Sales'!$A$2:$K$2</definedName>
    <definedName name="_xlnm._FilterDatabase" localSheetId="12" hidden="1">'Pipe Opportunité'!$A$2:$K$2</definedName>
    <definedName name="_xlnm._FilterDatabase" localSheetId="17" hidden="1">'Plan d''action'!$A$2:$I$12</definedName>
    <definedName name="_xlnm._FilterDatabase" localSheetId="7" hidden="1">'VISITES CLIENTS'!$A$2:$I$73</definedName>
    <definedName name="_xlnm.Print_Titles" localSheetId="16">FORECAST!$1:$5</definedName>
    <definedName name="_xlnm.Print_Titles" localSheetId="12">'Pipe Opportunité'!$2:$2</definedName>
    <definedName name="_xlnm.Print_Area" localSheetId="16">FORECAST!$A$1:$K$248</definedName>
    <definedName name="_xlnm.Print_Area" localSheetId="7">'VISITES CLIENTS'!$A$1:$J$45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64" l="1"/>
  <c r="U4" i="43"/>
  <c r="V4" i="43"/>
  <c r="U5" i="43"/>
  <c r="V5" i="43"/>
  <c r="U6" i="43"/>
  <c r="V6" i="43" s="1"/>
  <c r="U7" i="43"/>
  <c r="V7" i="43"/>
  <c r="U8" i="43"/>
  <c r="V8" i="43"/>
  <c r="U9" i="43"/>
  <c r="V9" i="43"/>
  <c r="U10" i="43"/>
  <c r="V10" i="43"/>
  <c r="U11" i="43"/>
  <c r="V11" i="43" s="1"/>
  <c r="U12" i="43"/>
  <c r="V12" i="43"/>
  <c r="U13" i="43"/>
  <c r="V13" i="43" s="1"/>
  <c r="U14" i="43"/>
  <c r="V14" i="43"/>
  <c r="U15" i="43"/>
  <c r="V15" i="43"/>
  <c r="U16" i="43"/>
  <c r="V16" i="43"/>
  <c r="U17" i="43"/>
  <c r="V17" i="43"/>
  <c r="U18" i="43"/>
  <c r="V18" i="43"/>
  <c r="U19" i="43"/>
  <c r="V19" i="43"/>
  <c r="U20" i="43"/>
  <c r="V20" i="43" s="1"/>
  <c r="U21" i="43"/>
  <c r="V21" i="43"/>
  <c r="U22" i="43"/>
  <c r="V22" i="43"/>
  <c r="U23" i="43"/>
  <c r="V23" i="43"/>
  <c r="U24" i="43"/>
  <c r="V24" i="43"/>
  <c r="U25" i="43"/>
  <c r="V25" i="43"/>
  <c r="U26" i="43"/>
  <c r="V26" i="43" s="1"/>
  <c r="U27" i="43"/>
  <c r="V27" i="43"/>
  <c r="U28" i="43"/>
  <c r="V28" i="43"/>
  <c r="U29" i="43"/>
  <c r="V29" i="43"/>
  <c r="U30" i="43"/>
  <c r="V30" i="43"/>
  <c r="U31" i="43"/>
  <c r="V31" i="43"/>
  <c r="U32" i="43"/>
  <c r="V32" i="43"/>
  <c r="U33" i="43"/>
  <c r="V33" i="43"/>
  <c r="U34" i="43"/>
  <c r="V34" i="43"/>
  <c r="U35" i="43"/>
  <c r="V35" i="43"/>
  <c r="U36" i="43"/>
  <c r="V36" i="43"/>
  <c r="U37" i="43"/>
  <c r="V37" i="43"/>
  <c r="U38" i="43"/>
  <c r="V38" i="43"/>
  <c r="U39" i="43"/>
  <c r="V39" i="43"/>
  <c r="U40" i="43"/>
  <c r="V40" i="43"/>
  <c r="U41" i="43"/>
  <c r="V41" i="43"/>
  <c r="U42" i="43"/>
  <c r="V42" i="43"/>
  <c r="U43" i="43"/>
  <c r="V43" i="43"/>
  <c r="U44" i="43"/>
  <c r="V44" i="43"/>
  <c r="U45" i="43"/>
  <c r="V45" i="43"/>
  <c r="U46" i="43"/>
  <c r="V46" i="43"/>
  <c r="U47" i="43"/>
  <c r="V47" i="43"/>
  <c r="U48" i="43"/>
  <c r="V48" i="43"/>
  <c r="U49" i="43"/>
  <c r="V49" i="43"/>
  <c r="U50" i="43"/>
  <c r="V50" i="43"/>
  <c r="U51" i="43"/>
  <c r="V51" i="43"/>
  <c r="U52" i="43"/>
  <c r="V52" i="43"/>
  <c r="U53" i="43"/>
  <c r="V53" i="43"/>
  <c r="U54" i="43"/>
  <c r="V54" i="43" s="1"/>
  <c r="U55" i="43"/>
  <c r="V55" i="43"/>
  <c r="U56" i="43"/>
  <c r="V56" i="43"/>
  <c r="U57" i="43"/>
  <c r="V57" i="43"/>
  <c r="U58" i="43"/>
  <c r="V58" i="43"/>
  <c r="U59" i="43"/>
  <c r="V59" i="43"/>
  <c r="U60" i="43"/>
  <c r="V60" i="43"/>
  <c r="U61" i="43"/>
  <c r="V61" i="43"/>
  <c r="U62" i="43"/>
  <c r="V62" i="43"/>
  <c r="U63" i="43"/>
  <c r="V63" i="43"/>
  <c r="U64" i="43"/>
  <c r="V64" i="43"/>
  <c r="U65" i="43"/>
  <c r="V65" i="43"/>
  <c r="U66" i="43"/>
  <c r="V66" i="43"/>
  <c r="U67" i="43"/>
  <c r="V67" i="43"/>
  <c r="U68" i="43"/>
  <c r="V68" i="43" s="1"/>
  <c r="U69" i="43"/>
  <c r="V69" i="43" s="1"/>
  <c r="U70" i="43"/>
  <c r="V70" i="43"/>
  <c r="U71" i="43"/>
  <c r="V71" i="43"/>
  <c r="U72" i="43"/>
  <c r="V72" i="43"/>
  <c r="U73" i="43"/>
  <c r="V73" i="43"/>
  <c r="U74" i="43"/>
  <c r="V74" i="43"/>
  <c r="U75" i="43"/>
  <c r="V75" i="43"/>
  <c r="U76" i="43"/>
  <c r="V76" i="43"/>
  <c r="U77" i="43"/>
  <c r="V77" i="43"/>
  <c r="U78" i="43"/>
  <c r="V78" i="43"/>
  <c r="U79" i="43"/>
  <c r="V79" i="43"/>
  <c r="U80" i="43"/>
  <c r="V80" i="43"/>
  <c r="U81" i="43"/>
  <c r="V81" i="43"/>
  <c r="U82" i="43"/>
  <c r="V82" i="43"/>
  <c r="U83" i="43"/>
  <c r="V83" i="43"/>
  <c r="U84" i="43"/>
  <c r="V84" i="43"/>
  <c r="U85" i="43"/>
  <c r="V85" i="43"/>
  <c r="U86" i="43"/>
  <c r="V86" i="43"/>
  <c r="U87" i="43"/>
  <c r="V87" i="43"/>
  <c r="U88" i="43"/>
  <c r="V88" i="43"/>
  <c r="U89" i="43"/>
  <c r="V89" i="43"/>
  <c r="U90" i="43"/>
  <c r="V90" i="43"/>
  <c r="U91" i="43"/>
  <c r="V91" i="43"/>
  <c r="U92" i="43"/>
  <c r="V92" i="43"/>
  <c r="U93" i="43"/>
  <c r="V93" i="43"/>
  <c r="U94" i="43"/>
  <c r="V94" i="43"/>
  <c r="U95" i="43"/>
  <c r="V95" i="43"/>
  <c r="U96" i="43"/>
  <c r="V96" i="43"/>
  <c r="U97" i="43"/>
  <c r="V97" i="43" s="1"/>
  <c r="U98" i="43"/>
  <c r="V98" i="43"/>
  <c r="U99" i="43"/>
  <c r="V99" i="43"/>
  <c r="U100" i="43"/>
  <c r="V100" i="43"/>
  <c r="U101" i="43"/>
  <c r="V101" i="43"/>
  <c r="U102" i="43"/>
  <c r="V102" i="43"/>
  <c r="U103" i="43"/>
  <c r="V103" i="43"/>
  <c r="U104" i="43"/>
  <c r="V104" i="43" s="1"/>
  <c r="U105" i="43"/>
  <c r="V105" i="43"/>
  <c r="U106" i="43"/>
  <c r="V106" i="43"/>
  <c r="U107" i="43"/>
  <c r="V107" i="43"/>
  <c r="U108" i="43"/>
  <c r="V108" i="43"/>
  <c r="U109" i="43"/>
  <c r="V109" i="43"/>
  <c r="U110" i="43"/>
  <c r="V110" i="43"/>
  <c r="U111" i="43"/>
  <c r="V111" i="43" s="1"/>
  <c r="U112" i="43"/>
  <c r="V112" i="43" s="1"/>
  <c r="U113" i="43"/>
  <c r="V113" i="43"/>
  <c r="U114" i="43"/>
  <c r="V114" i="43"/>
  <c r="U115" i="43"/>
  <c r="V115" i="43"/>
  <c r="U116" i="43"/>
  <c r="V116" i="43"/>
  <c r="U117" i="43"/>
  <c r="V117" i="43"/>
  <c r="U118" i="43"/>
  <c r="V118" i="43"/>
  <c r="U119" i="43"/>
  <c r="V119" i="43"/>
  <c r="U120" i="43"/>
  <c r="V120" i="43"/>
  <c r="U121" i="43"/>
  <c r="V121" i="43"/>
  <c r="U122" i="43"/>
  <c r="V122" i="43"/>
  <c r="U123" i="43"/>
  <c r="V123" i="43"/>
  <c r="U124" i="43"/>
  <c r="V124" i="43"/>
  <c r="U125" i="43"/>
  <c r="V125" i="43" s="1"/>
  <c r="U126" i="43"/>
  <c r="V126" i="43"/>
  <c r="U127" i="43"/>
  <c r="V127" i="43"/>
  <c r="U128" i="43"/>
  <c r="V128" i="43"/>
  <c r="U129" i="43"/>
  <c r="V129" i="43"/>
  <c r="U130" i="43"/>
  <c r="V130" i="43"/>
  <c r="U131" i="43"/>
  <c r="V131" i="43"/>
  <c r="U132" i="43"/>
  <c r="V132" i="43" s="1"/>
  <c r="U133" i="43"/>
  <c r="V133" i="43"/>
  <c r="U134" i="43"/>
  <c r="V134" i="43" s="1"/>
  <c r="U135" i="43"/>
  <c r="V135" i="43"/>
  <c r="U136" i="43"/>
  <c r="V136" i="43"/>
  <c r="U137" i="43"/>
  <c r="V137" i="43"/>
  <c r="U138" i="43"/>
  <c r="V138" i="43"/>
  <c r="U139" i="43"/>
  <c r="V139" i="43" s="1"/>
  <c r="U140" i="43"/>
  <c r="V140" i="43"/>
  <c r="U141" i="43"/>
  <c r="V141" i="43"/>
  <c r="U142" i="43"/>
  <c r="V142" i="43"/>
  <c r="U143" i="43"/>
  <c r="V143" i="43"/>
  <c r="U144" i="43"/>
  <c r="V144" i="43"/>
  <c r="U145" i="43"/>
  <c r="V145" i="43"/>
  <c r="U146" i="43"/>
  <c r="V146" i="43" s="1"/>
  <c r="U147" i="43"/>
  <c r="V147" i="43"/>
  <c r="U148" i="43"/>
  <c r="V148" i="43"/>
  <c r="U149" i="43"/>
  <c r="V149" i="43" s="1"/>
  <c r="U150" i="43"/>
  <c r="V150" i="43"/>
  <c r="U151" i="43"/>
  <c r="V151" i="43"/>
  <c r="U152" i="43"/>
  <c r="V152" i="43"/>
  <c r="U153" i="43"/>
  <c r="V153" i="43" s="1"/>
  <c r="U154" i="43"/>
  <c r="V154" i="43"/>
  <c r="U155" i="43"/>
  <c r="V155" i="43"/>
  <c r="U156" i="43"/>
  <c r="V156" i="43"/>
  <c r="U157" i="43"/>
  <c r="V157" i="43"/>
  <c r="U158" i="43"/>
  <c r="V158" i="43"/>
  <c r="U159" i="43"/>
  <c r="V159" i="43"/>
  <c r="U160" i="43"/>
  <c r="V160" i="43" s="1"/>
  <c r="U161" i="43"/>
  <c r="V161" i="43"/>
  <c r="U162" i="43"/>
  <c r="V162" i="43"/>
  <c r="U163" i="43"/>
  <c r="V163" i="43"/>
  <c r="U164" i="43"/>
  <c r="V164" i="43" s="1"/>
  <c r="U165" i="43"/>
  <c r="V165" i="43"/>
  <c r="U166" i="43"/>
  <c r="V166" i="43"/>
  <c r="U167" i="43"/>
  <c r="V167" i="43" s="1"/>
  <c r="U168" i="43"/>
  <c r="V168" i="43"/>
  <c r="U169" i="43"/>
  <c r="V169" i="43"/>
  <c r="U170" i="43"/>
  <c r="V170" i="43"/>
  <c r="U171" i="43"/>
  <c r="V171" i="43"/>
  <c r="U172" i="43"/>
  <c r="V172" i="43"/>
  <c r="U173" i="43"/>
  <c r="V173" i="43"/>
  <c r="U174" i="43"/>
  <c r="V174" i="43" s="1"/>
  <c r="U175" i="43"/>
  <c r="V175" i="43"/>
  <c r="U176" i="43"/>
  <c r="V176" i="43"/>
  <c r="U177" i="43"/>
  <c r="V177" i="43"/>
  <c r="U178" i="43"/>
  <c r="V178" i="43"/>
  <c r="U179" i="43"/>
  <c r="V179" i="43" s="1"/>
  <c r="U180" i="43"/>
  <c r="V180" i="43"/>
  <c r="U181" i="43"/>
  <c r="V181" i="43" s="1"/>
  <c r="U182" i="43"/>
  <c r="V182" i="43"/>
  <c r="U183" i="43"/>
  <c r="V183" i="43"/>
  <c r="U184" i="43"/>
  <c r="V184" i="43"/>
  <c r="U185" i="43"/>
  <c r="V185" i="43"/>
  <c r="U186" i="43"/>
  <c r="V186" i="43"/>
  <c r="U187" i="43"/>
  <c r="V187" i="43"/>
  <c r="U188" i="43"/>
  <c r="V188" i="43" s="1"/>
  <c r="U189" i="43"/>
  <c r="V189" i="43"/>
  <c r="U190" i="43"/>
  <c r="V190" i="43"/>
  <c r="U191" i="43"/>
  <c r="V191" i="43"/>
  <c r="U192" i="43"/>
  <c r="V192" i="43"/>
  <c r="U193" i="43"/>
  <c r="V193" i="43"/>
  <c r="U194" i="43"/>
  <c r="V194" i="43" s="1"/>
  <c r="U195" i="43"/>
  <c r="V195" i="43" s="1"/>
  <c r="U196" i="43"/>
  <c r="V196" i="43"/>
  <c r="U197" i="43"/>
  <c r="V197" i="43"/>
  <c r="U198" i="43"/>
  <c r="V198" i="43"/>
  <c r="U199" i="43"/>
  <c r="V199" i="43"/>
  <c r="U200" i="43"/>
  <c r="V200" i="43"/>
  <c r="U201" i="43"/>
  <c r="V201" i="43"/>
  <c r="U202" i="43"/>
  <c r="V202" i="43" s="1"/>
  <c r="U203" i="43"/>
  <c r="V203" i="43"/>
  <c r="U204" i="43"/>
  <c r="V204" i="43"/>
  <c r="U205" i="43"/>
  <c r="V205" i="43"/>
  <c r="U206" i="43"/>
  <c r="V206" i="43"/>
  <c r="U207" i="43"/>
  <c r="V207" i="43"/>
  <c r="U208" i="43"/>
  <c r="V208" i="43"/>
  <c r="U209" i="43"/>
  <c r="V209" i="43" s="1"/>
  <c r="U210" i="43"/>
  <c r="V210" i="43"/>
  <c r="U211" i="43"/>
  <c r="V211" i="43"/>
  <c r="U212" i="43"/>
  <c r="V212" i="43"/>
  <c r="U213" i="43"/>
  <c r="V213" i="43"/>
  <c r="U214" i="43"/>
  <c r="V214" i="43"/>
  <c r="U215" i="43"/>
  <c r="V215" i="43"/>
  <c r="U216" i="43"/>
  <c r="V216" i="43" s="1"/>
  <c r="U217" i="43"/>
  <c r="V217" i="43"/>
  <c r="U218" i="43"/>
  <c r="V218" i="43"/>
  <c r="U219" i="43"/>
  <c r="V219" i="43"/>
  <c r="U220" i="43"/>
  <c r="V220" i="43"/>
  <c r="U221" i="43"/>
  <c r="V221" i="43"/>
  <c r="B1" i="62"/>
  <c r="H1" i="62"/>
  <c r="F13" i="58" l="1"/>
  <c r="I13" i="58" s="1"/>
  <c r="E13" i="58"/>
  <c r="H13" i="58" s="1"/>
  <c r="K13" i="58" s="1"/>
  <c r="N13" i="58" s="1"/>
  <c r="Q13" i="58" s="1"/>
  <c r="T13" i="58" s="1"/>
  <c r="W13" i="58" s="1"/>
  <c r="Z13" i="58" s="1"/>
  <c r="AC13" i="58" s="1"/>
  <c r="AF13" i="58" s="1"/>
  <c r="AI13" i="58" s="1"/>
  <c r="AN11" i="58"/>
  <c r="AK11" i="58"/>
  <c r="AH11" i="58"/>
  <c r="AE11" i="58"/>
  <c r="AB11" i="58"/>
  <c r="Y11" i="58"/>
  <c r="V11" i="58"/>
  <c r="S11" i="58"/>
  <c r="P11" i="58"/>
  <c r="M11" i="58"/>
  <c r="J11" i="58"/>
  <c r="G11" i="58"/>
  <c r="C11" i="58"/>
  <c r="D11" i="58" s="1"/>
  <c r="B11" i="58"/>
  <c r="AM10" i="58"/>
  <c r="AN10" i="58" s="1"/>
  <c r="AL10" i="58"/>
  <c r="AJ10" i="58"/>
  <c r="AK10" i="58" s="1"/>
  <c r="AI10" i="58"/>
  <c r="AG10" i="58"/>
  <c r="AH10" i="58" s="1"/>
  <c r="AF10" i="58"/>
  <c r="AE10" i="58"/>
  <c r="AD10" i="58"/>
  <c r="AC10" i="58"/>
  <c r="AA10" i="58"/>
  <c r="AB10" i="58" s="1"/>
  <c r="Z10" i="58"/>
  <c r="X10" i="58"/>
  <c r="Y10" i="58" s="1"/>
  <c r="W10" i="58"/>
  <c r="U10" i="58"/>
  <c r="V10" i="58" s="1"/>
  <c r="T10" i="58"/>
  <c r="S10" i="58"/>
  <c r="R10" i="58"/>
  <c r="Q10" i="58"/>
  <c r="O10" i="58"/>
  <c r="P10" i="58" s="1"/>
  <c r="N10" i="58"/>
  <c r="L10" i="58"/>
  <c r="M10" i="58" s="1"/>
  <c r="K10" i="58"/>
  <c r="I10" i="58"/>
  <c r="J10" i="58" s="1"/>
  <c r="H10" i="58"/>
  <c r="F10" i="58"/>
  <c r="C10" i="58" s="1"/>
  <c r="E10" i="58"/>
  <c r="B10" i="58" s="1"/>
  <c r="AN9" i="58"/>
  <c r="AK9" i="58"/>
  <c r="AH9" i="58"/>
  <c r="AE9" i="58"/>
  <c r="AB9" i="58"/>
  <c r="Y9" i="58"/>
  <c r="V9" i="58"/>
  <c r="S9" i="58"/>
  <c r="P9" i="58"/>
  <c r="M9" i="58"/>
  <c r="J9" i="58"/>
  <c r="G9" i="58"/>
  <c r="D9" i="58"/>
  <c r="C9" i="58"/>
  <c r="B9" i="58"/>
  <c r="AN8" i="58"/>
  <c r="AK8" i="58"/>
  <c r="AH8" i="58"/>
  <c r="AE8" i="58"/>
  <c r="AB8" i="58"/>
  <c r="Y8" i="58"/>
  <c r="V8" i="58"/>
  <c r="S8" i="58"/>
  <c r="P8" i="58"/>
  <c r="M8" i="58"/>
  <c r="J8" i="58"/>
  <c r="G8" i="58"/>
  <c r="C8" i="58"/>
  <c r="D8" i="58" s="1"/>
  <c r="B8" i="58"/>
  <c r="AN7" i="58"/>
  <c r="AK7" i="58"/>
  <c r="AH7" i="58"/>
  <c r="AE7" i="58"/>
  <c r="AB7" i="58"/>
  <c r="Y7" i="58"/>
  <c r="V7" i="58"/>
  <c r="S7" i="58"/>
  <c r="P7" i="58"/>
  <c r="M7" i="58"/>
  <c r="J7" i="58"/>
  <c r="G7" i="58"/>
  <c r="C7" i="58"/>
  <c r="D7" i="58" s="1"/>
  <c r="B7" i="58"/>
  <c r="AN6" i="58"/>
  <c r="AK6" i="58"/>
  <c r="AH6" i="58"/>
  <c r="AE6" i="58"/>
  <c r="AB6" i="58"/>
  <c r="Y6" i="58"/>
  <c r="V6" i="58"/>
  <c r="S6" i="58"/>
  <c r="P6" i="58"/>
  <c r="M6" i="58"/>
  <c r="J6" i="58"/>
  <c r="G6" i="58"/>
  <c r="C6" i="58"/>
  <c r="D6" i="58" s="1"/>
  <c r="B6" i="58"/>
  <c r="AN5" i="58"/>
  <c r="AK5" i="58"/>
  <c r="AH5" i="58"/>
  <c r="AE5" i="58"/>
  <c r="AB5" i="58"/>
  <c r="Y5" i="58"/>
  <c r="V5" i="58"/>
  <c r="S5" i="58"/>
  <c r="P5" i="58"/>
  <c r="M5" i="58"/>
  <c r="J5" i="58"/>
  <c r="G5" i="58"/>
  <c r="C5" i="58"/>
  <c r="D5" i="58" s="1"/>
  <c r="AN4" i="58"/>
  <c r="AK4" i="58"/>
  <c r="AH4" i="58"/>
  <c r="AE4" i="58"/>
  <c r="AB4" i="58"/>
  <c r="Y4" i="58"/>
  <c r="V4" i="58"/>
  <c r="S4" i="58"/>
  <c r="P4" i="58"/>
  <c r="M4" i="58"/>
  <c r="J4" i="58"/>
  <c r="G4" i="58"/>
  <c r="C4" i="58"/>
  <c r="B4" i="58"/>
  <c r="D4" i="58" s="1"/>
  <c r="AN3" i="58"/>
  <c r="AK3" i="58"/>
  <c r="AH3" i="58"/>
  <c r="AE3" i="58"/>
  <c r="AB3" i="58"/>
  <c r="Y3" i="58"/>
  <c r="V3" i="58"/>
  <c r="S3" i="58"/>
  <c r="P3" i="58"/>
  <c r="M3" i="58"/>
  <c r="J3" i="58"/>
  <c r="G3" i="58"/>
  <c r="C3" i="58"/>
  <c r="D3" i="58" s="1"/>
  <c r="B3" i="58"/>
  <c r="F13" i="60"/>
  <c r="I13" i="60" s="1"/>
  <c r="E13" i="60"/>
  <c r="H13" i="60" s="1"/>
  <c r="K13" i="60" s="1"/>
  <c r="N13" i="60" s="1"/>
  <c r="Q13" i="60" s="1"/>
  <c r="T13" i="60" s="1"/>
  <c r="W13" i="60" s="1"/>
  <c r="Z13" i="60" s="1"/>
  <c r="AC13" i="60" s="1"/>
  <c r="AF13" i="60" s="1"/>
  <c r="AI13" i="60" s="1"/>
  <c r="AN11" i="60"/>
  <c r="AK11" i="60"/>
  <c r="AH11" i="60"/>
  <c r="AE11" i="60"/>
  <c r="AB11" i="60"/>
  <c r="Y11" i="60"/>
  <c r="V11" i="60"/>
  <c r="S11" i="60"/>
  <c r="P11" i="60"/>
  <c r="M11" i="60"/>
  <c r="J11" i="60"/>
  <c r="G11" i="60"/>
  <c r="C11" i="60"/>
  <c r="D11" i="60" s="1"/>
  <c r="B11" i="60"/>
  <c r="AM10" i="60"/>
  <c r="AN10" i="60" s="1"/>
  <c r="AL10" i="60"/>
  <c r="AJ10" i="60"/>
  <c r="AK10" i="60" s="1"/>
  <c r="AI10" i="60"/>
  <c r="AG10" i="60"/>
  <c r="AH10" i="60" s="1"/>
  <c r="AF10" i="60"/>
  <c r="AD10" i="60"/>
  <c r="AE10" i="60" s="1"/>
  <c r="AC10" i="60"/>
  <c r="AB10" i="60"/>
  <c r="AA10" i="60"/>
  <c r="Z10" i="60"/>
  <c r="X10" i="60"/>
  <c r="Y10" i="60" s="1"/>
  <c r="W10" i="60"/>
  <c r="U10" i="60"/>
  <c r="V10" i="60" s="1"/>
  <c r="T10" i="60"/>
  <c r="S10" i="60"/>
  <c r="R10" i="60"/>
  <c r="Q10" i="60"/>
  <c r="O10" i="60"/>
  <c r="P10" i="60" s="1"/>
  <c r="N10" i="60"/>
  <c r="L10" i="60"/>
  <c r="M10" i="60" s="1"/>
  <c r="K10" i="60"/>
  <c r="I10" i="60"/>
  <c r="J10" i="60" s="1"/>
  <c r="H10" i="60"/>
  <c r="F10" i="60"/>
  <c r="C10" i="60" s="1"/>
  <c r="E10" i="60"/>
  <c r="B10" i="60" s="1"/>
  <c r="AN9" i="60"/>
  <c r="AK9" i="60"/>
  <c r="AH9" i="60"/>
  <c r="AE9" i="60"/>
  <c r="AB9" i="60"/>
  <c r="Y9" i="60"/>
  <c r="V9" i="60"/>
  <c r="S9" i="60"/>
  <c r="P9" i="60"/>
  <c r="M9" i="60"/>
  <c r="J9" i="60"/>
  <c r="G9" i="60"/>
  <c r="C9" i="60"/>
  <c r="D9" i="60" s="1"/>
  <c r="B9" i="60"/>
  <c r="AN8" i="60"/>
  <c r="AK8" i="60"/>
  <c r="AH8" i="60"/>
  <c r="AE8" i="60"/>
  <c r="AB8" i="60"/>
  <c r="Y8" i="60"/>
  <c r="V8" i="60"/>
  <c r="S8" i="60"/>
  <c r="P8" i="60"/>
  <c r="M8" i="60"/>
  <c r="J8" i="60"/>
  <c r="G8" i="60"/>
  <c r="C8" i="60"/>
  <c r="D8" i="60" s="1"/>
  <c r="B8" i="60"/>
  <c r="AN7" i="60"/>
  <c r="AK7" i="60"/>
  <c r="AH7" i="60"/>
  <c r="AE7" i="60"/>
  <c r="AB7" i="60"/>
  <c r="Y7" i="60"/>
  <c r="V7" i="60"/>
  <c r="S7" i="60"/>
  <c r="P7" i="60"/>
  <c r="M7" i="60"/>
  <c r="J7" i="60"/>
  <c r="G7" i="60"/>
  <c r="C7" i="60"/>
  <c r="D7" i="60" s="1"/>
  <c r="B7" i="60"/>
  <c r="AN6" i="60"/>
  <c r="AK6" i="60"/>
  <c r="AH6" i="60"/>
  <c r="AE6" i="60"/>
  <c r="AB6" i="60"/>
  <c r="Y6" i="60"/>
  <c r="V6" i="60"/>
  <c r="S6" i="60"/>
  <c r="P6" i="60"/>
  <c r="M6" i="60"/>
  <c r="J6" i="60"/>
  <c r="G6" i="60"/>
  <c r="D6" i="60"/>
  <c r="C6" i="60"/>
  <c r="B6" i="60"/>
  <c r="AN5" i="60"/>
  <c r="AK5" i="60"/>
  <c r="AH5" i="60"/>
  <c r="AE5" i="60"/>
  <c r="AB5" i="60"/>
  <c r="Y5" i="60"/>
  <c r="V5" i="60"/>
  <c r="S5" i="60"/>
  <c r="P5" i="60"/>
  <c r="M5" i="60"/>
  <c r="J5" i="60"/>
  <c r="G5" i="60"/>
  <c r="C5" i="60"/>
  <c r="D5" i="60" s="1"/>
  <c r="AN4" i="60"/>
  <c r="AK4" i="60"/>
  <c r="AH4" i="60"/>
  <c r="AE4" i="60"/>
  <c r="AB4" i="60"/>
  <c r="Y4" i="60"/>
  <c r="V4" i="60"/>
  <c r="S4" i="60"/>
  <c r="P4" i="60"/>
  <c r="M4" i="60"/>
  <c r="J4" i="60"/>
  <c r="G4" i="60"/>
  <c r="C4" i="60"/>
  <c r="D4" i="60" s="1"/>
  <c r="B4" i="60"/>
  <c r="AN3" i="60"/>
  <c r="AK3" i="60"/>
  <c r="AH3" i="60"/>
  <c r="AE3" i="60"/>
  <c r="AB3" i="60"/>
  <c r="Y3" i="60"/>
  <c r="V3" i="60"/>
  <c r="S3" i="60"/>
  <c r="P3" i="60"/>
  <c r="M3" i="60"/>
  <c r="J3" i="60"/>
  <c r="G3" i="60"/>
  <c r="C3" i="60"/>
  <c r="D3" i="60" s="1"/>
  <c r="B3" i="60"/>
  <c r="F13" i="61"/>
  <c r="I13" i="61" s="1"/>
  <c r="E13" i="61"/>
  <c r="H13" i="61" s="1"/>
  <c r="K13" i="61" s="1"/>
  <c r="N13" i="61" s="1"/>
  <c r="Q13" i="61" s="1"/>
  <c r="T13" i="61" s="1"/>
  <c r="W13" i="61" s="1"/>
  <c r="Z13" i="61" s="1"/>
  <c r="AC13" i="61" s="1"/>
  <c r="AF13" i="61" s="1"/>
  <c r="AI13" i="61" s="1"/>
  <c r="AN11" i="61"/>
  <c r="AK11" i="61"/>
  <c r="AH11" i="61"/>
  <c r="AE11" i="61"/>
  <c r="AB11" i="61"/>
  <c r="Y11" i="61"/>
  <c r="V11" i="61"/>
  <c r="S11" i="61"/>
  <c r="P11" i="61"/>
  <c r="M11" i="61"/>
  <c r="J11" i="61"/>
  <c r="G11" i="61"/>
  <c r="C11" i="61"/>
  <c r="D11" i="61" s="1"/>
  <c r="B11" i="61"/>
  <c r="AM10" i="61"/>
  <c r="AN10" i="61" s="1"/>
  <c r="AL10" i="61"/>
  <c r="AJ10" i="61"/>
  <c r="AK10" i="61" s="1"/>
  <c r="AI10" i="61"/>
  <c r="AG10" i="61"/>
  <c r="AH10" i="61" s="1"/>
  <c r="AF10" i="61"/>
  <c r="AD10" i="61"/>
  <c r="AE10" i="61" s="1"/>
  <c r="AC10" i="61"/>
  <c r="AA10" i="61"/>
  <c r="AB10" i="61" s="1"/>
  <c r="Z10" i="61"/>
  <c r="X10" i="61"/>
  <c r="Y10" i="61" s="1"/>
  <c r="W10" i="61"/>
  <c r="U10" i="61"/>
  <c r="V10" i="61" s="1"/>
  <c r="T10" i="61"/>
  <c r="S10" i="61"/>
  <c r="R10" i="61"/>
  <c r="Q10" i="61"/>
  <c r="O10" i="61"/>
  <c r="P10" i="61" s="1"/>
  <c r="N10" i="61"/>
  <c r="L10" i="61"/>
  <c r="M10" i="61" s="1"/>
  <c r="K10" i="61"/>
  <c r="I10" i="61"/>
  <c r="J10" i="61" s="1"/>
  <c r="H10" i="61"/>
  <c r="F10" i="61"/>
  <c r="C10" i="61" s="1"/>
  <c r="E10" i="61"/>
  <c r="B10" i="61" s="1"/>
  <c r="AN9" i="61"/>
  <c r="AK9" i="61"/>
  <c r="AH9" i="61"/>
  <c r="AE9" i="61"/>
  <c r="AB9" i="61"/>
  <c r="Y9" i="61"/>
  <c r="V9" i="61"/>
  <c r="S9" i="61"/>
  <c r="P9" i="61"/>
  <c r="M9" i="61"/>
  <c r="J9" i="61"/>
  <c r="G9" i="61"/>
  <c r="C9" i="61"/>
  <c r="D9" i="61" s="1"/>
  <c r="B9" i="61"/>
  <c r="AN8" i="61"/>
  <c r="AK8" i="61"/>
  <c r="AH8" i="61"/>
  <c r="AE8" i="61"/>
  <c r="AB8" i="61"/>
  <c r="Y8" i="61"/>
  <c r="V8" i="61"/>
  <c r="S8" i="61"/>
  <c r="P8" i="61"/>
  <c r="M8" i="61"/>
  <c r="J8" i="61"/>
  <c r="G8" i="61"/>
  <c r="C8" i="61"/>
  <c r="D8" i="61" s="1"/>
  <c r="B8" i="61"/>
  <c r="AN7" i="61"/>
  <c r="AK7" i="61"/>
  <c r="AH7" i="61"/>
  <c r="AE7" i="61"/>
  <c r="AB7" i="61"/>
  <c r="Y7" i="61"/>
  <c r="V7" i="61"/>
  <c r="S7" i="61"/>
  <c r="P7" i="61"/>
  <c r="M7" i="61"/>
  <c r="J7" i="61"/>
  <c r="G7" i="61"/>
  <c r="C7" i="61"/>
  <c r="D7" i="61" s="1"/>
  <c r="B7" i="61"/>
  <c r="AN6" i="61"/>
  <c r="AK6" i="61"/>
  <c r="AH6" i="61"/>
  <c r="AE6" i="61"/>
  <c r="AB6" i="61"/>
  <c r="Y6" i="61"/>
  <c r="V6" i="61"/>
  <c r="S6" i="61"/>
  <c r="P6" i="61"/>
  <c r="M6" i="61"/>
  <c r="J6" i="61"/>
  <c r="G6" i="61"/>
  <c r="C6" i="61"/>
  <c r="D6" i="61" s="1"/>
  <c r="B6" i="61"/>
  <c r="AN5" i="61"/>
  <c r="AK5" i="61"/>
  <c r="AH5" i="61"/>
  <c r="AE5" i="61"/>
  <c r="AB5" i="61"/>
  <c r="Y5" i="61"/>
  <c r="V5" i="61"/>
  <c r="S5" i="61"/>
  <c r="P5" i="61"/>
  <c r="M5" i="61"/>
  <c r="J5" i="61"/>
  <c r="G5" i="61"/>
  <c r="C5" i="61"/>
  <c r="D5" i="61" s="1"/>
  <c r="AN4" i="61"/>
  <c r="AK4" i="61"/>
  <c r="AH4" i="61"/>
  <c r="AE4" i="61"/>
  <c r="AB4" i="61"/>
  <c r="Y4" i="61"/>
  <c r="V4" i="61"/>
  <c r="S4" i="61"/>
  <c r="P4" i="61"/>
  <c r="M4" i="61"/>
  <c r="J4" i="61"/>
  <c r="G4" i="61"/>
  <c r="C4" i="61"/>
  <c r="D4" i="61" s="1"/>
  <c r="B4" i="61"/>
  <c r="AN3" i="61"/>
  <c r="AK3" i="61"/>
  <c r="AH3" i="61"/>
  <c r="AE3" i="61"/>
  <c r="AB3" i="61"/>
  <c r="Y3" i="61"/>
  <c r="V3" i="61"/>
  <c r="S3" i="61"/>
  <c r="P3" i="61"/>
  <c r="M3" i="61"/>
  <c r="J3" i="61"/>
  <c r="G3" i="61"/>
  <c r="C3" i="61"/>
  <c r="D3" i="61" s="1"/>
  <c r="B3" i="61"/>
  <c r="F13" i="52"/>
  <c r="I13" i="52" s="1"/>
  <c r="E13" i="52"/>
  <c r="H13" i="52" s="1"/>
  <c r="K13" i="52" s="1"/>
  <c r="N13" i="52" s="1"/>
  <c r="Q13" i="52" s="1"/>
  <c r="T13" i="52" s="1"/>
  <c r="W13" i="52" s="1"/>
  <c r="Z13" i="52" s="1"/>
  <c r="AC13" i="52" s="1"/>
  <c r="AF13" i="52" s="1"/>
  <c r="AI13" i="52" s="1"/>
  <c r="AN11" i="52"/>
  <c r="AK11" i="52"/>
  <c r="AH11" i="52"/>
  <c r="AE11" i="52"/>
  <c r="AB11" i="52"/>
  <c r="Y11" i="52"/>
  <c r="V11" i="52"/>
  <c r="S11" i="52"/>
  <c r="P11" i="52"/>
  <c r="M11" i="52"/>
  <c r="J11" i="52"/>
  <c r="G11" i="52"/>
  <c r="C11" i="52"/>
  <c r="B11" i="52"/>
  <c r="AM10" i="52"/>
  <c r="AL10" i="52"/>
  <c r="AJ10" i="52"/>
  <c r="AI10" i="52"/>
  <c r="AG10" i="52"/>
  <c r="AF10" i="52"/>
  <c r="AD10" i="52"/>
  <c r="AC10" i="52"/>
  <c r="AE10" i="52" s="1"/>
  <c r="AA10" i="52"/>
  <c r="Z10" i="52"/>
  <c r="X10" i="52"/>
  <c r="W10" i="52"/>
  <c r="U10" i="52"/>
  <c r="T10" i="52"/>
  <c r="R10" i="52"/>
  <c r="Q10" i="52"/>
  <c r="O10" i="52"/>
  <c r="N10" i="52"/>
  <c r="L10" i="52"/>
  <c r="K10" i="52"/>
  <c r="I10" i="52"/>
  <c r="H10" i="52"/>
  <c r="F10" i="52"/>
  <c r="G10" i="52" s="1"/>
  <c r="E10" i="52"/>
  <c r="AN9" i="52"/>
  <c r="AK9" i="52"/>
  <c r="AH9" i="52"/>
  <c r="AE9" i="52"/>
  <c r="AB9" i="52"/>
  <c r="Y9" i="52"/>
  <c r="V9" i="52"/>
  <c r="S9" i="52"/>
  <c r="P9" i="52"/>
  <c r="M9" i="52"/>
  <c r="J9" i="52"/>
  <c r="G9" i="52"/>
  <c r="C9" i="52"/>
  <c r="B9" i="52"/>
  <c r="AN8" i="52"/>
  <c r="AK8" i="52"/>
  <c r="AH8" i="52"/>
  <c r="AE8" i="52"/>
  <c r="AB8" i="52"/>
  <c r="Y8" i="52"/>
  <c r="V8" i="52"/>
  <c r="S8" i="52"/>
  <c r="P8" i="52"/>
  <c r="M8" i="52"/>
  <c r="J8" i="52"/>
  <c r="G8" i="52"/>
  <c r="C8" i="52"/>
  <c r="D8" i="52" s="1"/>
  <c r="B8" i="52"/>
  <c r="AN7" i="52"/>
  <c r="AK7" i="52"/>
  <c r="AH7" i="52"/>
  <c r="AE7" i="52"/>
  <c r="AB7" i="52"/>
  <c r="Y7" i="52"/>
  <c r="V7" i="52"/>
  <c r="S7" i="52"/>
  <c r="P7" i="52"/>
  <c r="M7" i="52"/>
  <c r="J7" i="52"/>
  <c r="G7" i="52"/>
  <c r="C7" i="52"/>
  <c r="D7" i="52" s="1"/>
  <c r="B7" i="52"/>
  <c r="AN6" i="52"/>
  <c r="AK6" i="52"/>
  <c r="AH6" i="52"/>
  <c r="AE6" i="52"/>
  <c r="AB6" i="52"/>
  <c r="Y6" i="52"/>
  <c r="V6" i="52"/>
  <c r="S6" i="52"/>
  <c r="P6" i="52"/>
  <c r="M6" i="52"/>
  <c r="J6" i="52"/>
  <c r="G6" i="52"/>
  <c r="C6" i="52"/>
  <c r="D6" i="52" s="1"/>
  <c r="B6" i="52"/>
  <c r="AN5" i="52"/>
  <c r="AK5" i="52"/>
  <c r="AH5" i="52"/>
  <c r="AE5" i="52"/>
  <c r="AB5" i="52"/>
  <c r="Y5" i="52"/>
  <c r="V5" i="52"/>
  <c r="S5" i="52"/>
  <c r="P5" i="52"/>
  <c r="M5" i="52"/>
  <c r="J5" i="52"/>
  <c r="G5" i="52"/>
  <c r="C5" i="52"/>
  <c r="D5" i="52" s="1"/>
  <c r="AN4" i="52"/>
  <c r="AK4" i="52"/>
  <c r="AH4" i="52"/>
  <c r="AE4" i="52"/>
  <c r="AB4" i="52"/>
  <c r="Y4" i="52"/>
  <c r="V4" i="52"/>
  <c r="S4" i="52"/>
  <c r="P4" i="52"/>
  <c r="M4" i="52"/>
  <c r="J4" i="52"/>
  <c r="G4" i="52"/>
  <c r="C4" i="52"/>
  <c r="B4" i="52"/>
  <c r="AN3" i="52"/>
  <c r="AK3" i="52"/>
  <c r="AH3" i="52"/>
  <c r="AE3" i="52"/>
  <c r="AB3" i="52"/>
  <c r="Y3" i="52"/>
  <c r="V3" i="52"/>
  <c r="S3" i="52"/>
  <c r="P3" i="52"/>
  <c r="M3" i="52"/>
  <c r="J3" i="52"/>
  <c r="G3" i="52"/>
  <c r="C3" i="52"/>
  <c r="B3" i="52"/>
  <c r="AM10" i="41"/>
  <c r="AL10" i="41"/>
  <c r="AJ10" i="41"/>
  <c r="AI10" i="41"/>
  <c r="AG10" i="41"/>
  <c r="AF10" i="41"/>
  <c r="AD10" i="41"/>
  <c r="AC10" i="41"/>
  <c r="AA10" i="41"/>
  <c r="Z10" i="41"/>
  <c r="X10" i="41"/>
  <c r="W10" i="41"/>
  <c r="U10" i="41"/>
  <c r="T10" i="41"/>
  <c r="R10" i="41"/>
  <c r="Q10" i="41"/>
  <c r="O10" i="41"/>
  <c r="N10" i="41"/>
  <c r="L10" i="41"/>
  <c r="K10" i="41"/>
  <c r="I10" i="41"/>
  <c r="H10" i="41"/>
  <c r="E10" i="41"/>
  <c r="J13" i="58" l="1"/>
  <c r="L13" i="58"/>
  <c r="D10" i="58"/>
  <c r="G10" i="58"/>
  <c r="G13" i="58"/>
  <c r="D10" i="60"/>
  <c r="L13" i="60"/>
  <c r="J13" i="60"/>
  <c r="G10" i="60"/>
  <c r="G13" i="60"/>
  <c r="D10" i="61"/>
  <c r="J13" i="61"/>
  <c r="L13" i="61"/>
  <c r="G10" i="61"/>
  <c r="G13" i="61"/>
  <c r="J10" i="52"/>
  <c r="AK10" i="52"/>
  <c r="S10" i="52"/>
  <c r="D4" i="52"/>
  <c r="M10" i="52"/>
  <c r="AN10" i="52"/>
  <c r="V10" i="52"/>
  <c r="D11" i="52"/>
  <c r="D3" i="52"/>
  <c r="AB10" i="52"/>
  <c r="AH10" i="52"/>
  <c r="P10" i="52"/>
  <c r="D9" i="52"/>
  <c r="B10" i="52"/>
  <c r="Y10" i="52"/>
  <c r="J13" i="52"/>
  <c r="L13" i="52"/>
  <c r="C10" i="52"/>
  <c r="G13" i="52"/>
  <c r="F10" i="41"/>
  <c r="B1" i="53"/>
  <c r="O13" i="58" l="1"/>
  <c r="M13" i="58"/>
  <c r="O13" i="60"/>
  <c r="M13" i="60"/>
  <c r="O13" i="61"/>
  <c r="M13" i="61"/>
  <c r="D10" i="52"/>
  <c r="M13" i="52"/>
  <c r="O13" i="52"/>
  <c r="J1" i="43"/>
  <c r="K1" i="43"/>
  <c r="L1" i="43"/>
  <c r="M1" i="43"/>
  <c r="N1" i="43"/>
  <c r="O1" i="43"/>
  <c r="P1" i="43"/>
  <c r="Q1" i="43"/>
  <c r="R1" i="43"/>
  <c r="S1" i="43"/>
  <c r="T1" i="43"/>
  <c r="U3" i="43"/>
  <c r="V3" i="43"/>
  <c r="R13" i="58" l="1"/>
  <c r="P13" i="58"/>
  <c r="R13" i="60"/>
  <c r="P13" i="60"/>
  <c r="R13" i="61"/>
  <c r="P13" i="61"/>
  <c r="R13" i="52"/>
  <c r="P13" i="52"/>
  <c r="F1" i="43"/>
  <c r="S13" i="58" l="1"/>
  <c r="U13" i="58"/>
  <c r="S13" i="60"/>
  <c r="U13" i="60"/>
  <c r="U13" i="61"/>
  <c r="S13" i="61"/>
  <c r="U13" i="52"/>
  <c r="S13" i="52"/>
  <c r="G1" i="45"/>
  <c r="V13" i="58" l="1"/>
  <c r="X13" i="58"/>
  <c r="X13" i="60"/>
  <c r="V13" i="60"/>
  <c r="V13" i="61"/>
  <c r="X13" i="61"/>
  <c r="V13" i="52"/>
  <c r="X13" i="52"/>
  <c r="AA13" i="58" l="1"/>
  <c r="Y13" i="58"/>
  <c r="AA13" i="60"/>
  <c r="Y13" i="60"/>
  <c r="AA13" i="61"/>
  <c r="Y13" i="61"/>
  <c r="AA13" i="52"/>
  <c r="Y13" i="52"/>
  <c r="AM13" i="55"/>
  <c r="AM12" i="55"/>
  <c r="AJ13" i="55"/>
  <c r="AJ12" i="55"/>
  <c r="AG13" i="55"/>
  <c r="AG12" i="55"/>
  <c r="AD13" i="55"/>
  <c r="AD12" i="55"/>
  <c r="AA13" i="55"/>
  <c r="AA12" i="55"/>
  <c r="X13" i="55"/>
  <c r="X12" i="55"/>
  <c r="U13" i="55"/>
  <c r="U12" i="55"/>
  <c r="R13" i="55"/>
  <c r="R12" i="55"/>
  <c r="O13" i="55"/>
  <c r="O12" i="55"/>
  <c r="L13" i="55"/>
  <c r="L12" i="55"/>
  <c r="I13" i="55"/>
  <c r="I12" i="55"/>
  <c r="AM11" i="55"/>
  <c r="AL11" i="55"/>
  <c r="AM10" i="55"/>
  <c r="AL10" i="55"/>
  <c r="AM9" i="55"/>
  <c r="AL9" i="55"/>
  <c r="AM8" i="55"/>
  <c r="AL8" i="55"/>
  <c r="AM7" i="55"/>
  <c r="AL7" i="55"/>
  <c r="AM6" i="55"/>
  <c r="AL6" i="55"/>
  <c r="AM5" i="55"/>
  <c r="AL5" i="55"/>
  <c r="AM4" i="55"/>
  <c r="AL4" i="55"/>
  <c r="AM3" i="55"/>
  <c r="AL3" i="55"/>
  <c r="AJ11" i="55"/>
  <c r="AI11" i="55"/>
  <c r="AJ10" i="55"/>
  <c r="AI10" i="55"/>
  <c r="AJ9" i="55"/>
  <c r="AI9" i="55"/>
  <c r="AJ8" i="55"/>
  <c r="AI8" i="55"/>
  <c r="AJ7" i="55"/>
  <c r="AI7" i="55"/>
  <c r="AJ6" i="55"/>
  <c r="AI6" i="55"/>
  <c r="AJ5" i="55"/>
  <c r="AI5" i="55"/>
  <c r="AJ4" i="55"/>
  <c r="AI4" i="55"/>
  <c r="AJ3" i="55"/>
  <c r="AI3" i="55"/>
  <c r="AG11" i="55"/>
  <c r="AF11" i="55"/>
  <c r="AG10" i="55"/>
  <c r="AF10" i="55"/>
  <c r="AG9" i="55"/>
  <c r="AF9" i="55"/>
  <c r="AG8" i="55"/>
  <c r="AF8" i="55"/>
  <c r="AG7" i="55"/>
  <c r="AF7" i="55"/>
  <c r="AG6" i="55"/>
  <c r="AF6" i="55"/>
  <c r="AG5" i="55"/>
  <c r="AF5" i="55"/>
  <c r="AG4" i="55"/>
  <c r="AF4" i="55"/>
  <c r="AH4" i="55" s="1"/>
  <c r="AG3" i="55"/>
  <c r="AF3" i="55"/>
  <c r="AH3" i="55" s="1"/>
  <c r="AD11" i="55"/>
  <c r="AC11" i="55"/>
  <c r="AD10" i="55"/>
  <c r="AC10" i="55"/>
  <c r="AD9" i="55"/>
  <c r="AC9" i="55"/>
  <c r="AD8" i="55"/>
  <c r="AC8" i="55"/>
  <c r="AD7" i="55"/>
  <c r="AC7" i="55"/>
  <c r="AD6" i="55"/>
  <c r="AC6" i="55"/>
  <c r="AD5" i="55"/>
  <c r="AC5" i="55"/>
  <c r="AD4" i="55"/>
  <c r="AC4" i="55"/>
  <c r="AD3" i="55"/>
  <c r="AC3" i="55"/>
  <c r="AA11" i="55"/>
  <c r="Z11" i="55"/>
  <c r="AA10" i="55"/>
  <c r="Z10" i="55"/>
  <c r="AA9" i="55"/>
  <c r="Z9" i="55"/>
  <c r="AA8" i="55"/>
  <c r="Z8" i="55"/>
  <c r="AA7" i="55"/>
  <c r="Z7" i="55"/>
  <c r="AA6" i="55"/>
  <c r="Z6" i="55"/>
  <c r="AA5" i="55"/>
  <c r="Z5" i="55"/>
  <c r="AA4" i="55"/>
  <c r="Z4" i="55"/>
  <c r="AA3" i="55"/>
  <c r="Z3" i="55"/>
  <c r="X11" i="55"/>
  <c r="W11" i="55"/>
  <c r="X10" i="55"/>
  <c r="W10" i="55"/>
  <c r="X9" i="55"/>
  <c r="W9" i="55"/>
  <c r="X8" i="55"/>
  <c r="W8" i="55"/>
  <c r="X7" i="55"/>
  <c r="W7" i="55"/>
  <c r="X6" i="55"/>
  <c r="W6" i="55"/>
  <c r="X5" i="55"/>
  <c r="W5" i="55"/>
  <c r="X4" i="55"/>
  <c r="W4" i="55"/>
  <c r="X3" i="55"/>
  <c r="W3" i="55"/>
  <c r="T11" i="55"/>
  <c r="U10" i="55"/>
  <c r="T10" i="55"/>
  <c r="U9" i="55"/>
  <c r="T9" i="55"/>
  <c r="U8" i="55"/>
  <c r="T8" i="55"/>
  <c r="U7" i="55"/>
  <c r="T7" i="55"/>
  <c r="U6" i="55"/>
  <c r="T6" i="55"/>
  <c r="U5" i="55"/>
  <c r="T5" i="55"/>
  <c r="U4" i="55"/>
  <c r="T4" i="55"/>
  <c r="U3" i="55"/>
  <c r="T3" i="55"/>
  <c r="R11" i="55"/>
  <c r="Q11" i="55"/>
  <c r="R10" i="55"/>
  <c r="Q10" i="55"/>
  <c r="R9" i="55"/>
  <c r="Q9" i="55"/>
  <c r="R8" i="55"/>
  <c r="Q8" i="55"/>
  <c r="R7" i="55"/>
  <c r="Q7" i="55"/>
  <c r="R6" i="55"/>
  <c r="Q6" i="55"/>
  <c r="R5" i="55"/>
  <c r="Q5" i="55"/>
  <c r="R4" i="55"/>
  <c r="Q4" i="55"/>
  <c r="R3" i="55"/>
  <c r="Q3" i="55"/>
  <c r="O11" i="55"/>
  <c r="N11" i="55"/>
  <c r="O10" i="55"/>
  <c r="N10" i="55"/>
  <c r="O9" i="55"/>
  <c r="N9" i="55"/>
  <c r="O8" i="55"/>
  <c r="N8" i="55"/>
  <c r="O7" i="55"/>
  <c r="N7" i="55"/>
  <c r="O6" i="55"/>
  <c r="N6" i="55"/>
  <c r="O5" i="55"/>
  <c r="N5" i="55"/>
  <c r="O4" i="55"/>
  <c r="N4" i="55"/>
  <c r="O3" i="55"/>
  <c r="N3" i="55"/>
  <c r="L11" i="55"/>
  <c r="K11" i="55"/>
  <c r="L10" i="55"/>
  <c r="K10" i="55"/>
  <c r="L9" i="55"/>
  <c r="K9" i="55"/>
  <c r="L8" i="55"/>
  <c r="K8" i="55"/>
  <c r="L7" i="55"/>
  <c r="K7" i="55"/>
  <c r="L6" i="55"/>
  <c r="K6" i="55"/>
  <c r="L5" i="55"/>
  <c r="K5" i="55"/>
  <c r="L4" i="55"/>
  <c r="K4" i="55"/>
  <c r="L3" i="55"/>
  <c r="K3" i="55"/>
  <c r="I11" i="55"/>
  <c r="H11" i="55"/>
  <c r="I10" i="55"/>
  <c r="H10" i="55"/>
  <c r="I9" i="55"/>
  <c r="H9" i="55"/>
  <c r="I8" i="55"/>
  <c r="H8" i="55"/>
  <c r="I7" i="55"/>
  <c r="H7" i="55"/>
  <c r="I6" i="55"/>
  <c r="H6" i="55"/>
  <c r="I5" i="55"/>
  <c r="H5" i="55"/>
  <c r="I4" i="55"/>
  <c r="H4" i="55"/>
  <c r="I3" i="55"/>
  <c r="H3" i="55"/>
  <c r="F11" i="55"/>
  <c r="E11" i="55"/>
  <c r="F10" i="55"/>
  <c r="E10" i="55"/>
  <c r="F9" i="55"/>
  <c r="E9" i="55"/>
  <c r="F8" i="55"/>
  <c r="E8" i="55"/>
  <c r="F7" i="55"/>
  <c r="E7" i="55"/>
  <c r="F6" i="55"/>
  <c r="E6" i="55"/>
  <c r="F5" i="55"/>
  <c r="E5" i="55"/>
  <c r="F4" i="55"/>
  <c r="E4" i="55"/>
  <c r="F3" i="55"/>
  <c r="E3" i="55"/>
  <c r="B5" i="55"/>
  <c r="AD13" i="58" l="1"/>
  <c r="AB13" i="58"/>
  <c r="AB13" i="60"/>
  <c r="AD13" i="60"/>
  <c r="AB13" i="61"/>
  <c r="AD13" i="61"/>
  <c r="AB3" i="55"/>
  <c r="AD13" i="52"/>
  <c r="AB13" i="52"/>
  <c r="AE3" i="55"/>
  <c r="AE4" i="55"/>
  <c r="AB4" i="55"/>
  <c r="AG13" i="58" l="1"/>
  <c r="AE13" i="58"/>
  <c r="AG13" i="60"/>
  <c r="AE13" i="60"/>
  <c r="AE13" i="61"/>
  <c r="AG13" i="61"/>
  <c r="AE13" i="52"/>
  <c r="AG13" i="52"/>
  <c r="R70" i="44"/>
  <c r="AJ13" i="58" l="1"/>
  <c r="AK13" i="58" s="1"/>
  <c r="AH13" i="58"/>
  <c r="AH13" i="60"/>
  <c r="AJ13" i="60"/>
  <c r="AK13" i="60" s="1"/>
  <c r="AJ13" i="61"/>
  <c r="AK13" i="61" s="1"/>
  <c r="AH13" i="61"/>
  <c r="AJ13" i="52"/>
  <c r="AK13" i="52" s="1"/>
  <c r="AH13" i="52"/>
  <c r="I1" i="43" l="1"/>
  <c r="X29" i="44" l="1"/>
  <c r="U11" i="55" l="1"/>
  <c r="I1" i="39"/>
  <c r="F13" i="55" l="1"/>
  <c r="F12" i="55"/>
  <c r="H1" i="45"/>
  <c r="M6" i="41"/>
  <c r="S6" i="41"/>
  <c r="AN11" i="41" l="1"/>
  <c r="AK11" i="41"/>
  <c r="AH11" i="41"/>
  <c r="AE11" i="41"/>
  <c r="AB11" i="41"/>
  <c r="Y11" i="41"/>
  <c r="P11" i="55"/>
  <c r="G11" i="41"/>
  <c r="AN10" i="41"/>
  <c r="AK10" i="41"/>
  <c r="AH10" i="41"/>
  <c r="AE10" i="41"/>
  <c r="AB10" i="41"/>
  <c r="J10" i="41"/>
  <c r="G10" i="41"/>
  <c r="AN9" i="41"/>
  <c r="AK9" i="41"/>
  <c r="AH9" i="41"/>
  <c r="AE9" i="41"/>
  <c r="AB9" i="41"/>
  <c r="Y9" i="41"/>
  <c r="V9" i="41"/>
  <c r="S9" i="41"/>
  <c r="P9" i="41"/>
  <c r="M9" i="41"/>
  <c r="J9" i="41"/>
  <c r="G9" i="41"/>
  <c r="AN8" i="41"/>
  <c r="AK8" i="41"/>
  <c r="AH8" i="41"/>
  <c r="AE8" i="41"/>
  <c r="AB8" i="41"/>
  <c r="Y8" i="41"/>
  <c r="V8" i="41"/>
  <c r="S8" i="41"/>
  <c r="P8" i="41"/>
  <c r="M8" i="41"/>
  <c r="J8" i="41"/>
  <c r="G8" i="41"/>
  <c r="AN7" i="41"/>
  <c r="AK7" i="41"/>
  <c r="AH7" i="41"/>
  <c r="AE7" i="41"/>
  <c r="AB7" i="41"/>
  <c r="Y7" i="41"/>
  <c r="V7" i="41"/>
  <c r="S7" i="41"/>
  <c r="P7" i="41"/>
  <c r="M7" i="41"/>
  <c r="J7" i="41"/>
  <c r="G7" i="41"/>
  <c r="AN6" i="41"/>
  <c r="AK6" i="41"/>
  <c r="AH6" i="41"/>
  <c r="AE6" i="41"/>
  <c r="AB6" i="41"/>
  <c r="Y6" i="41"/>
  <c r="V6" i="41"/>
  <c r="P6" i="41"/>
  <c r="J6" i="41"/>
  <c r="G6" i="41"/>
  <c r="AN5" i="41"/>
  <c r="AK5" i="41"/>
  <c r="AH5" i="41"/>
  <c r="AE5" i="41"/>
  <c r="AB5" i="41"/>
  <c r="Y5" i="41"/>
  <c r="V5" i="41"/>
  <c r="S5" i="41"/>
  <c r="P5" i="41"/>
  <c r="M5" i="41"/>
  <c r="J5" i="41"/>
  <c r="G5" i="41"/>
  <c r="AN4" i="41"/>
  <c r="AK4" i="41"/>
  <c r="AH4" i="41"/>
  <c r="AE4" i="41"/>
  <c r="AB4" i="41"/>
  <c r="Y4" i="41"/>
  <c r="V4" i="41"/>
  <c r="S4" i="41"/>
  <c r="P4" i="41"/>
  <c r="M4" i="41"/>
  <c r="J4" i="41"/>
  <c r="G4" i="41"/>
  <c r="AN3" i="41"/>
  <c r="AK3" i="41"/>
  <c r="AH3" i="41"/>
  <c r="AE3" i="41"/>
  <c r="AB3" i="41"/>
  <c r="Y3" i="41"/>
  <c r="V3" i="41"/>
  <c r="S3" i="41"/>
  <c r="P3" i="41"/>
  <c r="M3" i="41"/>
  <c r="J3" i="41"/>
  <c r="G3" i="41"/>
  <c r="C13" i="41"/>
  <c r="C13" i="55" s="1"/>
  <c r="C12" i="41"/>
  <c r="C12" i="55" s="1"/>
  <c r="B9" i="41"/>
  <c r="B9" i="55" s="1"/>
  <c r="B8" i="41"/>
  <c r="B8" i="55" s="1"/>
  <c r="B7" i="41"/>
  <c r="B7" i="55" s="1"/>
  <c r="B6" i="41"/>
  <c r="B6" i="55" s="1"/>
  <c r="B4" i="41"/>
  <c r="B4" i="55" s="1"/>
  <c r="C11" i="41"/>
  <c r="C10" i="41"/>
  <c r="C9" i="41"/>
  <c r="C8" i="41"/>
  <c r="C7" i="41"/>
  <c r="C6" i="41"/>
  <c r="C5" i="41"/>
  <c r="C5" i="55" s="1"/>
  <c r="C4" i="41"/>
  <c r="C4" i="55" s="1"/>
  <c r="C3" i="41"/>
  <c r="B3" i="41"/>
  <c r="B3" i="55" s="1"/>
  <c r="F1" i="54"/>
  <c r="E1" i="54"/>
  <c r="AN7" i="55"/>
  <c r="AK7" i="55"/>
  <c r="AK3" i="55"/>
  <c r="AH11" i="55"/>
  <c r="AH8" i="55"/>
  <c r="AE9" i="55"/>
  <c r="AB9" i="55"/>
  <c r="AB5" i="55"/>
  <c r="Y9" i="55"/>
  <c r="Y4" i="55"/>
  <c r="V10" i="55"/>
  <c r="V8" i="55"/>
  <c r="V7" i="55"/>
  <c r="S9" i="55"/>
  <c r="S8" i="55"/>
  <c r="P9" i="55"/>
  <c r="P8" i="55"/>
  <c r="P3" i="55"/>
  <c r="S3" i="55"/>
  <c r="M9" i="55"/>
  <c r="M7" i="55"/>
  <c r="M5" i="55"/>
  <c r="M3" i="55"/>
  <c r="J10" i="55"/>
  <c r="F15" i="55"/>
  <c r="E15" i="55"/>
  <c r="G10" i="55"/>
  <c r="F15" i="41"/>
  <c r="E15" i="41"/>
  <c r="V9" i="55"/>
  <c r="J8" i="55"/>
  <c r="G9" i="55"/>
  <c r="G8" i="55"/>
  <c r="G7" i="55"/>
  <c r="G6" i="55"/>
  <c r="S5" i="55"/>
  <c r="F1" i="53"/>
  <c r="H1" i="42"/>
  <c r="H1" i="39"/>
  <c r="C10" i="55" l="1"/>
  <c r="C3" i="55"/>
  <c r="D9" i="41"/>
  <c r="C9" i="55"/>
  <c r="D8" i="41"/>
  <c r="C8" i="55"/>
  <c r="D7" i="41"/>
  <c r="C7" i="55"/>
  <c r="D6" i="41"/>
  <c r="C6" i="55"/>
  <c r="C11" i="55"/>
  <c r="I1" i="42"/>
  <c r="G15" i="55"/>
  <c r="D5" i="41"/>
  <c r="AB11" i="55"/>
  <c r="P10" i="55"/>
  <c r="P7" i="55"/>
  <c r="AN6" i="55"/>
  <c r="S10" i="55"/>
  <c r="M8" i="55"/>
  <c r="AH5" i="55"/>
  <c r="AK6" i="55"/>
  <c r="J11" i="55"/>
  <c r="AE5" i="55"/>
  <c r="AE6" i="55"/>
  <c r="M10" i="55"/>
  <c r="AN9" i="55"/>
  <c r="J9" i="55"/>
  <c r="M11" i="55"/>
  <c r="V3" i="55"/>
  <c r="AE7" i="55"/>
  <c r="AK9" i="55"/>
  <c r="AK10" i="55"/>
  <c r="AN10" i="55"/>
  <c r="AN8" i="55"/>
  <c r="AK8" i="55"/>
  <c r="AE8" i="55"/>
  <c r="AN11" i="55"/>
  <c r="Y10" i="55"/>
  <c r="V11" i="55"/>
  <c r="AH7" i="55"/>
  <c r="M10" i="41"/>
  <c r="H15" i="41"/>
  <c r="K15" i="41" s="1"/>
  <c r="N15" i="41" s="1"/>
  <c r="Q15" i="41" s="1"/>
  <c r="T15" i="41" s="1"/>
  <c r="W15" i="41" s="1"/>
  <c r="Z15" i="41" s="1"/>
  <c r="AC15" i="41" s="1"/>
  <c r="AF15" i="41" s="1"/>
  <c r="AI15" i="41" s="1"/>
  <c r="AH6" i="55"/>
  <c r="J11" i="41"/>
  <c r="G15" i="41"/>
  <c r="Y5" i="55"/>
  <c r="P10" i="41"/>
  <c r="V5" i="55"/>
  <c r="AB6" i="55"/>
  <c r="M11" i="41"/>
  <c r="Y6" i="55"/>
  <c r="S10" i="41"/>
  <c r="V6" i="55"/>
  <c r="G5" i="55"/>
  <c r="J6" i="55"/>
  <c r="S6" i="55"/>
  <c r="Y7" i="55"/>
  <c r="V10" i="41"/>
  <c r="AH9" i="55"/>
  <c r="S11" i="41"/>
  <c r="J7" i="55"/>
  <c r="S7" i="55"/>
  <c r="AH10" i="55"/>
  <c r="Y10" i="41"/>
  <c r="B10" i="41"/>
  <c r="D10" i="41" s="1"/>
  <c r="V11" i="41"/>
  <c r="AB10" i="55"/>
  <c r="AE10" i="55"/>
  <c r="AK11" i="55"/>
  <c r="B11" i="41"/>
  <c r="M6" i="55"/>
  <c r="AE11" i="55"/>
  <c r="J5" i="55"/>
  <c r="P5" i="55"/>
  <c r="AB7" i="55"/>
  <c r="P11" i="41"/>
  <c r="AB8" i="55"/>
  <c r="Y11" i="55"/>
  <c r="AN3" i="55"/>
  <c r="S11" i="55"/>
  <c r="D4" i="41"/>
  <c r="G11" i="55"/>
  <c r="AN5" i="55"/>
  <c r="AK5" i="55"/>
  <c r="D3" i="41"/>
  <c r="AN4" i="55"/>
  <c r="AK4" i="55"/>
  <c r="Y3" i="55"/>
  <c r="V4" i="55"/>
  <c r="S4" i="55"/>
  <c r="P4" i="55"/>
  <c r="M4" i="55"/>
  <c r="J4" i="55"/>
  <c r="J3" i="55"/>
  <c r="G4" i="55"/>
  <c r="G3" i="55"/>
  <c r="Y8" i="55"/>
  <c r="P6" i="55"/>
  <c r="H15" i="55"/>
  <c r="K15" i="55" s="1"/>
  <c r="N15" i="55" s="1"/>
  <c r="Q15" i="55" s="1"/>
  <c r="T15" i="55" s="1"/>
  <c r="W15" i="55" s="1"/>
  <c r="Z15" i="55" s="1"/>
  <c r="AC15" i="55" s="1"/>
  <c r="AF15" i="55" s="1"/>
  <c r="AI15" i="55" s="1"/>
  <c r="I15" i="55"/>
  <c r="I15" i="41"/>
  <c r="D11" i="41" l="1"/>
  <c r="B11" i="55"/>
  <c r="D11" i="55" s="1"/>
  <c r="B10" i="55"/>
  <c r="D10" i="55" s="1"/>
  <c r="D8" i="55"/>
  <c r="D7" i="55"/>
  <c r="D6" i="55"/>
  <c r="D9" i="55"/>
  <c r="D5" i="55"/>
  <c r="D3" i="55"/>
  <c r="D4" i="55"/>
  <c r="L15" i="55"/>
  <c r="J15" i="55"/>
  <c r="L15" i="41"/>
  <c r="J15" i="41"/>
  <c r="O15" i="55" l="1"/>
  <c r="M15" i="55"/>
  <c r="M15" i="41"/>
  <c r="O15" i="41"/>
  <c r="P15" i="41" s="1"/>
  <c r="P15" i="55" l="1"/>
  <c r="R15" i="55"/>
  <c r="R15" i="41"/>
  <c r="S15" i="55" l="1"/>
  <c r="U15" i="55"/>
  <c r="S15" i="41"/>
  <c r="U15" i="41"/>
  <c r="X15" i="55" l="1"/>
  <c r="V15" i="55"/>
  <c r="X15" i="41"/>
  <c r="V15" i="41"/>
  <c r="AA15" i="55" l="1"/>
  <c r="Y15" i="55"/>
  <c r="AA15" i="41"/>
  <c r="Y15" i="41"/>
  <c r="AB15" i="55" l="1"/>
  <c r="AD15" i="55"/>
  <c r="AD15" i="41"/>
  <c r="AB15" i="41"/>
  <c r="AE15" i="55" l="1"/>
  <c r="AG15" i="55"/>
  <c r="AG15" i="41"/>
  <c r="AE15" i="41"/>
  <c r="X168" i="44"/>
  <c r="X45" i="44"/>
  <c r="AJ15" i="55" l="1"/>
  <c r="AK15" i="55" s="1"/>
  <c r="AH15" i="55"/>
  <c r="AJ15" i="41"/>
  <c r="AK15" i="41" s="1"/>
  <c r="AH15" i="41"/>
  <c r="W500" i="44" l="1"/>
  <c r="V500" i="44"/>
  <c r="U500" i="44"/>
  <c r="T500" i="44"/>
  <c r="S500" i="44"/>
  <c r="R500" i="44"/>
  <c r="Q500" i="44"/>
  <c r="P500" i="44"/>
  <c r="O500" i="44"/>
  <c r="N500" i="44"/>
  <c r="M500" i="44"/>
  <c r="L500" i="44"/>
  <c r="X499" i="44"/>
  <c r="X500" i="44" s="1"/>
  <c r="W498" i="44"/>
  <c r="V498" i="44"/>
  <c r="U498" i="44"/>
  <c r="T498" i="44"/>
  <c r="S498" i="44"/>
  <c r="R498" i="44"/>
  <c r="Q498" i="44"/>
  <c r="P498" i="44"/>
  <c r="O498" i="44"/>
  <c r="N498" i="44"/>
  <c r="M498" i="44"/>
  <c r="L498" i="44"/>
  <c r="X497" i="44"/>
  <c r="X496" i="44"/>
  <c r="X495" i="44"/>
  <c r="X494" i="44"/>
  <c r="X493" i="44"/>
  <c r="X492" i="44"/>
  <c r="X491" i="44"/>
  <c r="W490" i="44"/>
  <c r="V490" i="44"/>
  <c r="U490" i="44"/>
  <c r="T490" i="44"/>
  <c r="S490" i="44"/>
  <c r="R490" i="44"/>
  <c r="Q490" i="44"/>
  <c r="P490" i="44"/>
  <c r="O490" i="44"/>
  <c r="N490" i="44"/>
  <c r="M490" i="44"/>
  <c r="L490" i="44"/>
  <c r="X489" i="44"/>
  <c r="X488" i="44"/>
  <c r="X487" i="44"/>
  <c r="X486" i="44"/>
  <c r="X485" i="44"/>
  <c r="X484" i="44"/>
  <c r="X483" i="44"/>
  <c r="X482" i="44"/>
  <c r="X481" i="44"/>
  <c r="X480" i="44"/>
  <c r="X479" i="44"/>
  <c r="X478" i="44"/>
  <c r="X477" i="44"/>
  <c r="X476" i="44"/>
  <c r="X475" i="44"/>
  <c r="X474" i="44"/>
  <c r="X473" i="44"/>
  <c r="W472" i="44"/>
  <c r="V472" i="44"/>
  <c r="U472" i="44"/>
  <c r="T472" i="44"/>
  <c r="S472" i="44"/>
  <c r="R472" i="44"/>
  <c r="Q472" i="44"/>
  <c r="P472" i="44"/>
  <c r="O472" i="44"/>
  <c r="N472" i="44"/>
  <c r="M472" i="44"/>
  <c r="L472" i="44"/>
  <c r="X471" i="44"/>
  <c r="X470" i="44"/>
  <c r="X469" i="44"/>
  <c r="X468" i="44"/>
  <c r="X467" i="44"/>
  <c r="X466" i="44"/>
  <c r="X465" i="44"/>
  <c r="X464" i="44"/>
  <c r="X463" i="44"/>
  <c r="X462" i="44"/>
  <c r="X461" i="44"/>
  <c r="X460" i="44"/>
  <c r="X459" i="44"/>
  <c r="X458" i="44"/>
  <c r="X457" i="44"/>
  <c r="X456" i="44"/>
  <c r="X455" i="44"/>
  <c r="X454" i="44"/>
  <c r="X453" i="44"/>
  <c r="X452" i="44"/>
  <c r="X451" i="44"/>
  <c r="X450" i="44"/>
  <c r="X449" i="44"/>
  <c r="X448" i="44"/>
  <c r="X447" i="44"/>
  <c r="X446" i="44"/>
  <c r="X445" i="44"/>
  <c r="X444" i="44"/>
  <c r="X443" i="44"/>
  <c r="X442" i="44"/>
  <c r="X441" i="44"/>
  <c r="X440" i="44"/>
  <c r="X439" i="44"/>
  <c r="X438" i="44"/>
  <c r="X437" i="44"/>
  <c r="X436" i="44"/>
  <c r="X435" i="44"/>
  <c r="X434" i="44"/>
  <c r="X433" i="44"/>
  <c r="X432" i="44"/>
  <c r="X431" i="44"/>
  <c r="X430" i="44"/>
  <c r="X429" i="44"/>
  <c r="X428" i="44"/>
  <c r="X427" i="44"/>
  <c r="X426" i="44"/>
  <c r="X425" i="44"/>
  <c r="X424" i="44"/>
  <c r="X423" i="44"/>
  <c r="X422" i="44"/>
  <c r="W420" i="44"/>
  <c r="V420" i="44"/>
  <c r="U420" i="44"/>
  <c r="T420" i="44"/>
  <c r="S420" i="44"/>
  <c r="R420" i="44"/>
  <c r="Q420" i="44"/>
  <c r="P420" i="44"/>
  <c r="O420" i="44"/>
  <c r="N420" i="44"/>
  <c r="M420" i="44"/>
  <c r="L420" i="44"/>
  <c r="X419" i="44"/>
  <c r="X418" i="44"/>
  <c r="X417" i="44"/>
  <c r="X416" i="44"/>
  <c r="X415" i="44"/>
  <c r="X414" i="44"/>
  <c r="W413" i="44"/>
  <c r="V413" i="44"/>
  <c r="U413" i="44"/>
  <c r="T413" i="44"/>
  <c r="S413" i="44"/>
  <c r="R413" i="44"/>
  <c r="Q413" i="44"/>
  <c r="P413" i="44"/>
  <c r="O413" i="44"/>
  <c r="N413" i="44"/>
  <c r="M413" i="44"/>
  <c r="L413" i="44"/>
  <c r="X412" i="44"/>
  <c r="X411" i="44"/>
  <c r="X410" i="44"/>
  <c r="X409" i="44"/>
  <c r="X408" i="44"/>
  <c r="X407" i="44"/>
  <c r="X406" i="44"/>
  <c r="X405" i="44"/>
  <c r="X404" i="44"/>
  <c r="X403" i="44"/>
  <c r="X402" i="44"/>
  <c r="X401" i="44"/>
  <c r="X400" i="44"/>
  <c r="X399" i="44"/>
  <c r="X398" i="44"/>
  <c r="X397" i="44"/>
  <c r="X396" i="44"/>
  <c r="X395" i="44"/>
  <c r="X394" i="44"/>
  <c r="X393" i="44"/>
  <c r="X392" i="44"/>
  <c r="X391" i="44"/>
  <c r="X390" i="44"/>
  <c r="X389" i="44"/>
  <c r="X388" i="44"/>
  <c r="X387" i="44"/>
  <c r="X386" i="44"/>
  <c r="W385" i="44"/>
  <c r="V385" i="44"/>
  <c r="U385" i="44"/>
  <c r="T385" i="44"/>
  <c r="S385" i="44"/>
  <c r="R385" i="44"/>
  <c r="Q385" i="44"/>
  <c r="P385" i="44"/>
  <c r="O385" i="44"/>
  <c r="N385" i="44"/>
  <c r="M385" i="44"/>
  <c r="L385" i="44"/>
  <c r="X384" i="44"/>
  <c r="X383" i="44"/>
  <c r="X382" i="44"/>
  <c r="X381" i="44"/>
  <c r="X380" i="44"/>
  <c r="X379" i="44"/>
  <c r="X378" i="44"/>
  <c r="X377" i="44"/>
  <c r="X376" i="44"/>
  <c r="X375" i="44"/>
  <c r="X374" i="44"/>
  <c r="X373" i="44"/>
  <c r="X372" i="44"/>
  <c r="X371" i="44"/>
  <c r="X370" i="44"/>
  <c r="X369" i="44"/>
  <c r="X368" i="44"/>
  <c r="X367" i="44"/>
  <c r="X366" i="44"/>
  <c r="X365" i="44"/>
  <c r="X364" i="44"/>
  <c r="X363" i="44"/>
  <c r="X362" i="44"/>
  <c r="X361" i="44"/>
  <c r="X360" i="44"/>
  <c r="X359" i="44"/>
  <c r="X358" i="44"/>
  <c r="X357" i="44"/>
  <c r="X356" i="44"/>
  <c r="X355" i="44"/>
  <c r="X354" i="44"/>
  <c r="X353" i="44"/>
  <c r="X352" i="44"/>
  <c r="X351" i="44"/>
  <c r="X350" i="44"/>
  <c r="X349" i="44"/>
  <c r="X348" i="44"/>
  <c r="X347" i="44"/>
  <c r="X346" i="44"/>
  <c r="X345" i="44"/>
  <c r="X344" i="44"/>
  <c r="X343" i="44"/>
  <c r="X342" i="44"/>
  <c r="X341" i="44"/>
  <c r="X340" i="44"/>
  <c r="W339" i="44"/>
  <c r="V339" i="44"/>
  <c r="U339" i="44"/>
  <c r="T339" i="44"/>
  <c r="S339" i="44"/>
  <c r="R339" i="44"/>
  <c r="Q339" i="44"/>
  <c r="P339" i="44"/>
  <c r="O339" i="44"/>
  <c r="N339" i="44"/>
  <c r="M339" i="44"/>
  <c r="L339" i="44"/>
  <c r="X338" i="44"/>
  <c r="X337" i="44"/>
  <c r="X336" i="44"/>
  <c r="X335" i="44"/>
  <c r="X334" i="44"/>
  <c r="X333" i="44"/>
  <c r="X332" i="44"/>
  <c r="X331" i="44"/>
  <c r="X330" i="44"/>
  <c r="X329" i="44"/>
  <c r="X328" i="44"/>
  <c r="X327" i="44"/>
  <c r="X326" i="44"/>
  <c r="X325" i="44"/>
  <c r="X324" i="44"/>
  <c r="X323" i="44"/>
  <c r="X322" i="44"/>
  <c r="X321" i="44"/>
  <c r="X320" i="44"/>
  <c r="X319" i="44"/>
  <c r="X318" i="44"/>
  <c r="X317" i="44"/>
  <c r="X316" i="44"/>
  <c r="X315" i="44"/>
  <c r="X314" i="44"/>
  <c r="X313" i="44"/>
  <c r="X312" i="44"/>
  <c r="X311" i="44"/>
  <c r="X310" i="44"/>
  <c r="X309" i="44"/>
  <c r="X308" i="44"/>
  <c r="X307" i="44"/>
  <c r="X306" i="44"/>
  <c r="X305" i="44"/>
  <c r="X304" i="44"/>
  <c r="X303" i="44"/>
  <c r="X302" i="44"/>
  <c r="X301" i="44"/>
  <c r="X300" i="44"/>
  <c r="X299" i="44"/>
  <c r="X298" i="44"/>
  <c r="X297" i="44"/>
  <c r="X296" i="44"/>
  <c r="X295" i="44"/>
  <c r="X294" i="44"/>
  <c r="X293" i="44"/>
  <c r="X292" i="44"/>
  <c r="X291" i="44"/>
  <c r="X290" i="44"/>
  <c r="X289" i="44"/>
  <c r="X288" i="44"/>
  <c r="X287" i="44"/>
  <c r="X286" i="44"/>
  <c r="X285" i="44"/>
  <c r="X284" i="44"/>
  <c r="X283" i="44"/>
  <c r="X282" i="44"/>
  <c r="X281" i="44"/>
  <c r="X280" i="44"/>
  <c r="X279" i="44"/>
  <c r="X278" i="44"/>
  <c r="X277" i="44"/>
  <c r="X276" i="44"/>
  <c r="X275" i="44"/>
  <c r="X274" i="44"/>
  <c r="X273" i="44"/>
  <c r="X272" i="44"/>
  <c r="X271" i="44"/>
  <c r="X270" i="44"/>
  <c r="X269" i="44"/>
  <c r="X268" i="44"/>
  <c r="X267" i="44"/>
  <c r="X266" i="44"/>
  <c r="X265" i="44"/>
  <c r="X264" i="44"/>
  <c r="X263" i="44"/>
  <c r="X262" i="44"/>
  <c r="X261" i="44"/>
  <c r="X260" i="44"/>
  <c r="X259" i="44"/>
  <c r="X258" i="44"/>
  <c r="X257" i="44"/>
  <c r="X256" i="44"/>
  <c r="X255" i="44"/>
  <c r="X254" i="44"/>
  <c r="X253" i="44"/>
  <c r="X252" i="44"/>
  <c r="X251" i="44"/>
  <c r="X250" i="44"/>
  <c r="X249" i="44"/>
  <c r="X246" i="44"/>
  <c r="X245" i="44"/>
  <c r="X244" i="44"/>
  <c r="X243" i="44"/>
  <c r="X242" i="44"/>
  <c r="X241" i="44"/>
  <c r="X240" i="44"/>
  <c r="X239" i="44"/>
  <c r="X238" i="44"/>
  <c r="X237" i="44"/>
  <c r="X236" i="44"/>
  <c r="X234" i="44"/>
  <c r="X233" i="44"/>
  <c r="X232" i="44"/>
  <c r="X231" i="44"/>
  <c r="X230" i="44"/>
  <c r="X228" i="44"/>
  <c r="X229" i="44" s="1"/>
  <c r="X226" i="44"/>
  <c r="X225" i="44"/>
  <c r="X224" i="44"/>
  <c r="W223" i="44"/>
  <c r="V223" i="44"/>
  <c r="U223" i="44"/>
  <c r="T223" i="44"/>
  <c r="S223" i="44"/>
  <c r="R223" i="44"/>
  <c r="Q223" i="44"/>
  <c r="P223" i="44"/>
  <c r="O223" i="44"/>
  <c r="N223" i="44"/>
  <c r="M223" i="44"/>
  <c r="L223" i="44"/>
  <c r="X222" i="44"/>
  <c r="X221" i="44"/>
  <c r="X220" i="44"/>
  <c r="X219" i="44"/>
  <c r="X218" i="44"/>
  <c r="X217" i="44"/>
  <c r="X216" i="44"/>
  <c r="X215" i="44"/>
  <c r="X214" i="44"/>
  <c r="X213" i="44"/>
  <c r="X212" i="44"/>
  <c r="X211" i="44"/>
  <c r="X210" i="44"/>
  <c r="X209" i="44"/>
  <c r="X208" i="44"/>
  <c r="X207" i="44"/>
  <c r="X206" i="44"/>
  <c r="X205" i="44"/>
  <c r="X204" i="44"/>
  <c r="X203" i="44"/>
  <c r="X202" i="44"/>
  <c r="X201" i="44"/>
  <c r="X200" i="44"/>
  <c r="X199" i="44"/>
  <c r="W198" i="44"/>
  <c r="V198" i="44"/>
  <c r="U198" i="44"/>
  <c r="T198" i="44"/>
  <c r="S198" i="44"/>
  <c r="R198" i="44"/>
  <c r="Q198" i="44"/>
  <c r="P198" i="44"/>
  <c r="O198" i="44"/>
  <c r="N198" i="44"/>
  <c r="M198" i="44"/>
  <c r="L198" i="44"/>
  <c r="X197" i="44"/>
  <c r="X196" i="44"/>
  <c r="X195" i="44"/>
  <c r="X194" i="44"/>
  <c r="X193" i="44"/>
  <c r="X192" i="44"/>
  <c r="X191" i="44"/>
  <c r="X190" i="44"/>
  <c r="X189" i="44"/>
  <c r="X188" i="44"/>
  <c r="W187" i="44"/>
  <c r="V187" i="44"/>
  <c r="U187" i="44"/>
  <c r="T187" i="44"/>
  <c r="S187" i="44"/>
  <c r="R187" i="44"/>
  <c r="Q187" i="44"/>
  <c r="P187" i="44"/>
  <c r="O187" i="44"/>
  <c r="N187" i="44"/>
  <c r="M187" i="44"/>
  <c r="L187" i="44"/>
  <c r="X186" i="44"/>
  <c r="X185" i="44"/>
  <c r="X184" i="44"/>
  <c r="X183" i="44"/>
  <c r="X182" i="44"/>
  <c r="X181" i="44"/>
  <c r="X180" i="44"/>
  <c r="X179" i="44"/>
  <c r="X178" i="44"/>
  <c r="X176" i="44"/>
  <c r="X175" i="44"/>
  <c r="X174" i="44"/>
  <c r="X173" i="44"/>
  <c r="X172" i="44"/>
  <c r="X171" i="44"/>
  <c r="X170" i="44"/>
  <c r="X169" i="44"/>
  <c r="X167" i="44"/>
  <c r="X166" i="44"/>
  <c r="X165" i="44"/>
  <c r="X164" i="44"/>
  <c r="X163" i="44"/>
  <c r="X162" i="44"/>
  <c r="X161" i="44"/>
  <c r="X160" i="44"/>
  <c r="X159" i="44"/>
  <c r="X158" i="44"/>
  <c r="X157" i="44"/>
  <c r="X156" i="44"/>
  <c r="X155" i="44"/>
  <c r="X154" i="44"/>
  <c r="X153" i="44"/>
  <c r="X152" i="44"/>
  <c r="X151" i="44"/>
  <c r="X150" i="44"/>
  <c r="X149" i="44"/>
  <c r="X148" i="44"/>
  <c r="W147" i="44"/>
  <c r="V147" i="44"/>
  <c r="U147" i="44"/>
  <c r="T147" i="44"/>
  <c r="S147" i="44"/>
  <c r="R147" i="44"/>
  <c r="Q147" i="44"/>
  <c r="P147" i="44"/>
  <c r="O147" i="44"/>
  <c r="N147" i="44"/>
  <c r="M147" i="44"/>
  <c r="L147" i="44"/>
  <c r="X146" i="44"/>
  <c r="X145" i="44"/>
  <c r="X144" i="44"/>
  <c r="X143" i="44"/>
  <c r="X142" i="44"/>
  <c r="X141" i="44"/>
  <c r="X140" i="44"/>
  <c r="X139" i="44"/>
  <c r="X138" i="44"/>
  <c r="X137" i="44"/>
  <c r="X136" i="44"/>
  <c r="X135" i="44"/>
  <c r="X134" i="44"/>
  <c r="X133" i="44"/>
  <c r="X132" i="44"/>
  <c r="X131" i="44"/>
  <c r="X130" i="44"/>
  <c r="X129" i="44"/>
  <c r="X128" i="44"/>
  <c r="X127" i="44"/>
  <c r="X126" i="44"/>
  <c r="X125" i="44"/>
  <c r="X124" i="44"/>
  <c r="X123" i="44"/>
  <c r="X122" i="44"/>
  <c r="X121" i="44"/>
  <c r="X120" i="44"/>
  <c r="X119" i="44"/>
  <c r="X118" i="44"/>
  <c r="X117" i="44"/>
  <c r="X116" i="44"/>
  <c r="X115" i="44"/>
  <c r="X114" i="44"/>
  <c r="X113" i="44"/>
  <c r="X112" i="44"/>
  <c r="X111" i="44"/>
  <c r="X110" i="44"/>
  <c r="X109" i="44"/>
  <c r="X108" i="44"/>
  <c r="X107" i="44"/>
  <c r="X106" i="44"/>
  <c r="X105" i="44"/>
  <c r="X104" i="44"/>
  <c r="X103" i="44"/>
  <c r="X102" i="44"/>
  <c r="X101" i="44"/>
  <c r="X100" i="44"/>
  <c r="X99" i="44"/>
  <c r="X98" i="44"/>
  <c r="X97" i="44"/>
  <c r="X96" i="44"/>
  <c r="X95" i="44"/>
  <c r="X94" i="44"/>
  <c r="X93" i="44"/>
  <c r="X92" i="44"/>
  <c r="X91" i="44"/>
  <c r="X90" i="44"/>
  <c r="X89" i="44"/>
  <c r="X88" i="44"/>
  <c r="X87" i="44"/>
  <c r="X86" i="44"/>
  <c r="X85" i="44"/>
  <c r="X84" i="44"/>
  <c r="X83" i="44"/>
  <c r="X82" i="44"/>
  <c r="X81" i="44"/>
  <c r="W80" i="44"/>
  <c r="V80" i="44"/>
  <c r="U80" i="44"/>
  <c r="T80" i="44"/>
  <c r="S80" i="44"/>
  <c r="R80" i="44"/>
  <c r="Q80" i="44"/>
  <c r="P80" i="44"/>
  <c r="O80" i="44"/>
  <c r="N80" i="44"/>
  <c r="M80" i="44"/>
  <c r="L80" i="44"/>
  <c r="X79" i="44"/>
  <c r="X78" i="44"/>
  <c r="X77" i="44"/>
  <c r="X76" i="44"/>
  <c r="X75" i="44"/>
  <c r="X74" i="44"/>
  <c r="X73" i="44"/>
  <c r="X72" i="44"/>
  <c r="X71" i="44"/>
  <c r="W70" i="44"/>
  <c r="V70" i="44"/>
  <c r="U70" i="44"/>
  <c r="T70" i="44"/>
  <c r="S70" i="44"/>
  <c r="Q70" i="44"/>
  <c r="P70" i="44"/>
  <c r="O70" i="44"/>
  <c r="N70" i="44"/>
  <c r="M70" i="44"/>
  <c r="L70" i="44"/>
  <c r="X69" i="44"/>
  <c r="X68" i="44"/>
  <c r="X67" i="44"/>
  <c r="X66" i="44"/>
  <c r="X65" i="44"/>
  <c r="X64" i="44"/>
  <c r="X63" i="44"/>
  <c r="X62" i="44"/>
  <c r="X61" i="44"/>
  <c r="X60" i="44"/>
  <c r="X59" i="44"/>
  <c r="X58" i="44"/>
  <c r="X57" i="44"/>
  <c r="X56" i="44"/>
  <c r="X55" i="44"/>
  <c r="X54" i="44"/>
  <c r="X53" i="44"/>
  <c r="X52" i="44"/>
  <c r="X51" i="44"/>
  <c r="X50" i="44"/>
  <c r="X49" i="44"/>
  <c r="X48" i="44"/>
  <c r="X47" i="44"/>
  <c r="X46" i="44"/>
  <c r="X44" i="44"/>
  <c r="X43" i="44"/>
  <c r="X42" i="44"/>
  <c r="X41" i="44"/>
  <c r="X40" i="44"/>
  <c r="X39" i="44"/>
  <c r="X38" i="44"/>
  <c r="X37" i="44"/>
  <c r="X36" i="44"/>
  <c r="X35" i="44"/>
  <c r="X34" i="44"/>
  <c r="X33" i="44"/>
  <c r="X32" i="44"/>
  <c r="X31" i="44"/>
  <c r="X30" i="44"/>
  <c r="X28" i="44"/>
  <c r="X27" i="44"/>
  <c r="X26" i="44"/>
  <c r="X25" i="44"/>
  <c r="X24" i="44"/>
  <c r="X23" i="44"/>
  <c r="X22" i="44"/>
  <c r="X21" i="44"/>
  <c r="X20" i="44"/>
  <c r="X19" i="44"/>
  <c r="X18" i="44"/>
  <c r="X17" i="44"/>
  <c r="X16" i="44"/>
  <c r="X15" i="44"/>
  <c r="X14" i="44"/>
  <c r="X13" i="44"/>
  <c r="X12" i="44"/>
  <c r="X11" i="44"/>
  <c r="X10" i="44"/>
  <c r="X9" i="44"/>
  <c r="X8" i="44"/>
  <c r="X7" i="44"/>
  <c r="X6" i="44"/>
  <c r="M501" i="44" l="1"/>
  <c r="N501" i="44"/>
  <c r="O501" i="44"/>
  <c r="Q501" i="44"/>
  <c r="L501" i="44"/>
  <c r="U501" i="44"/>
  <c r="V501" i="44"/>
  <c r="W501" i="44"/>
  <c r="T501" i="44"/>
  <c r="X198" i="44"/>
  <c r="N421" i="44"/>
  <c r="V421" i="44"/>
  <c r="L421" i="44"/>
  <c r="P501" i="44"/>
  <c r="X223" i="44"/>
  <c r="X227" i="44"/>
  <c r="U421" i="44"/>
  <c r="R501" i="44"/>
  <c r="X80" i="44"/>
  <c r="X420" i="44"/>
  <c r="S501" i="44"/>
  <c r="X147" i="44"/>
  <c r="O421" i="44"/>
  <c r="W421" i="44"/>
  <c r="X235" i="44"/>
  <c r="X247" i="44"/>
  <c r="P421" i="44"/>
  <c r="X490" i="44"/>
  <c r="X498" i="44"/>
  <c r="S248" i="44"/>
  <c r="X472" i="44"/>
  <c r="X385" i="44"/>
  <c r="R421" i="44"/>
  <c r="Q421" i="44"/>
  <c r="X339" i="44"/>
  <c r="X187" i="44"/>
  <c r="L248" i="44"/>
  <c r="M421" i="44"/>
  <c r="T421" i="44"/>
  <c r="S421" i="44"/>
  <c r="X413" i="44"/>
  <c r="N248" i="44"/>
  <c r="O248" i="44"/>
  <c r="P248" i="44"/>
  <c r="M248" i="44"/>
  <c r="U248" i="44"/>
  <c r="Q248" i="44"/>
  <c r="R248" i="44"/>
  <c r="T248" i="44"/>
  <c r="V248" i="44"/>
  <c r="W248" i="44"/>
  <c r="X70" i="44"/>
  <c r="P5" i="44" l="1"/>
  <c r="R5" i="44"/>
  <c r="T5" i="44"/>
  <c r="L5" i="44"/>
  <c r="Q5" i="44"/>
  <c r="U5" i="44"/>
  <c r="S5" i="44"/>
  <c r="V5" i="44"/>
  <c r="W5" i="44"/>
  <c r="O5" i="44"/>
  <c r="M5" i="44"/>
  <c r="N5" i="44"/>
  <c r="X501" i="44"/>
  <c r="X421" i="44"/>
  <c r="X248" i="44"/>
  <c r="X5" i="44" l="1"/>
  <c r="G1" i="43" l="1"/>
  <c r="E1" i="43"/>
  <c r="J72" i="39"/>
</calcChain>
</file>

<file path=xl/comments1.xml><?xml version="1.0" encoding="utf-8"?>
<comments xmlns="http://schemas.openxmlformats.org/spreadsheetml/2006/main">
  <authors>
    <author>Meriem Choukry</author>
  </authors>
  <commentList>
    <comment ref="D2" authorId="0" shapeId="0">
      <text>
        <r>
          <rPr>
            <b/>
            <sz val="9"/>
            <color indexed="81"/>
            <rFont val="Tahoma"/>
            <family val="2"/>
          </rPr>
          <t>A renseigner cas de différents projets pour le même client.</t>
        </r>
      </text>
    </comment>
  </commentList>
</comments>
</file>

<file path=xl/comments2.xml><?xml version="1.0" encoding="utf-8"?>
<comments xmlns="http://schemas.openxmlformats.org/spreadsheetml/2006/main">
  <authors>
    <author>Paul PIERRES</author>
  </authors>
  <commentList>
    <comment ref="B249" authorId="0" shapeId="0">
      <text>
        <r>
          <rPr>
            <b/>
            <sz val="9"/>
            <color indexed="81"/>
            <rFont val="Tahoma"/>
            <family val="2"/>
          </rPr>
          <t>POLAND</t>
        </r>
      </text>
    </comment>
    <comment ref="B260" authorId="0" shapeId="0">
      <text>
        <r>
          <rPr>
            <b/>
            <sz val="9"/>
            <color indexed="81"/>
            <rFont val="Tahoma"/>
            <family val="2"/>
          </rPr>
          <t>POLAND</t>
        </r>
      </text>
    </comment>
    <comment ref="B283" authorId="0" shapeId="0">
      <text>
        <r>
          <rPr>
            <b/>
            <sz val="9"/>
            <color indexed="81"/>
            <rFont val="Tahoma"/>
            <family val="2"/>
          </rPr>
          <t>POLAND</t>
        </r>
      </text>
    </comment>
    <comment ref="B297" authorId="0" shapeId="0">
      <text>
        <r>
          <rPr>
            <b/>
            <sz val="9"/>
            <color indexed="81"/>
            <rFont val="Tahoma"/>
            <family val="2"/>
          </rPr>
          <t>POLAND</t>
        </r>
      </text>
    </comment>
    <comment ref="B304" authorId="0" shapeId="0">
      <text>
        <r>
          <rPr>
            <b/>
            <sz val="9"/>
            <color indexed="81"/>
            <rFont val="Tahoma"/>
            <family val="2"/>
          </rPr>
          <t>POLAND</t>
        </r>
      </text>
    </comment>
    <comment ref="B314" authorId="0" shapeId="0">
      <text>
        <r>
          <rPr>
            <b/>
            <sz val="9"/>
            <color indexed="81"/>
            <rFont val="Tahoma"/>
            <family val="2"/>
          </rPr>
          <t>POLAND</t>
        </r>
      </text>
    </comment>
    <comment ref="B320" authorId="0" shapeId="0">
      <text>
        <r>
          <rPr>
            <b/>
            <sz val="9"/>
            <color indexed="81"/>
            <rFont val="Tahoma"/>
            <family val="2"/>
          </rPr>
          <t>POLAND</t>
        </r>
      </text>
    </comment>
    <comment ref="B327" authorId="0" shapeId="0">
      <text>
        <r>
          <rPr>
            <b/>
            <sz val="9"/>
            <color indexed="81"/>
            <rFont val="Tahoma"/>
            <family val="2"/>
          </rPr>
          <t>POLAND</t>
        </r>
      </text>
    </comment>
    <comment ref="B340" authorId="0" shapeId="0">
      <text>
        <r>
          <rPr>
            <b/>
            <sz val="9"/>
            <color indexed="81"/>
            <rFont val="Tahoma"/>
            <family val="2"/>
          </rPr>
          <t>CHINA</t>
        </r>
      </text>
    </comment>
    <comment ref="B355" authorId="0" shapeId="0">
      <text>
        <r>
          <rPr>
            <b/>
            <sz val="9"/>
            <color indexed="81"/>
            <rFont val="Tahoma"/>
            <family val="2"/>
          </rPr>
          <t>CHINA</t>
        </r>
      </text>
    </comment>
    <comment ref="B386" authorId="0" shapeId="0">
      <text>
        <r>
          <rPr>
            <b/>
            <sz val="9"/>
            <color indexed="81"/>
            <rFont val="Tahoma"/>
            <family val="2"/>
          </rPr>
          <t>POLAND</t>
        </r>
      </text>
    </comment>
    <comment ref="B408" authorId="0" shapeId="0">
      <text>
        <r>
          <rPr>
            <b/>
            <sz val="9"/>
            <color indexed="81"/>
            <rFont val="Tahoma"/>
            <family val="2"/>
          </rPr>
          <t>CHINA</t>
        </r>
      </text>
    </comment>
    <comment ref="B409" authorId="0" shapeId="0">
      <text>
        <r>
          <rPr>
            <b/>
            <sz val="9"/>
            <color indexed="81"/>
            <rFont val="Tahoma"/>
            <family val="2"/>
          </rPr>
          <t>POLAND</t>
        </r>
      </text>
    </comment>
    <comment ref="B414" authorId="0" shapeId="0">
      <text>
        <r>
          <rPr>
            <b/>
            <sz val="9"/>
            <color indexed="81"/>
            <rFont val="Tahoma"/>
            <family val="2"/>
          </rPr>
          <t>POLAND</t>
        </r>
      </text>
    </comment>
    <comment ref="B417" authorId="0" shapeId="0">
      <text>
        <r>
          <rPr>
            <b/>
            <sz val="9"/>
            <color indexed="81"/>
            <rFont val="Tahoma"/>
            <family val="2"/>
          </rPr>
          <t>POLAND</t>
        </r>
      </text>
    </comment>
    <comment ref="B418" authorId="0" shapeId="0">
      <text>
        <r>
          <rPr>
            <b/>
            <sz val="9"/>
            <color indexed="81"/>
            <rFont val="Tahoma"/>
            <family val="2"/>
          </rPr>
          <t>CHINA</t>
        </r>
      </text>
    </comment>
    <comment ref="B419" authorId="0" shapeId="0">
      <text>
        <r>
          <rPr>
            <b/>
            <sz val="9"/>
            <color indexed="81"/>
            <rFont val="Tahoma"/>
            <family val="2"/>
          </rPr>
          <t>USA</t>
        </r>
      </text>
    </comment>
    <comment ref="A422" authorId="0" shapeId="0">
      <text>
        <r>
          <rPr>
            <b/>
            <sz val="9"/>
            <color indexed="81"/>
            <rFont val="Tahoma"/>
            <family val="2"/>
          </rPr>
          <t>PAKISTAN</t>
        </r>
      </text>
    </comment>
    <comment ref="A431" authorId="0" shapeId="0">
      <text>
        <r>
          <rPr>
            <b/>
            <sz val="9"/>
            <color indexed="81"/>
            <rFont val="Tahoma"/>
            <family val="2"/>
          </rPr>
          <t>BRAZIL</t>
        </r>
      </text>
    </comment>
    <comment ref="A443" authorId="0" shapeId="0">
      <text>
        <r>
          <rPr>
            <b/>
            <sz val="9"/>
            <color indexed="81"/>
            <rFont val="Tahoma"/>
            <family val="2"/>
          </rPr>
          <t>CHINA</t>
        </r>
      </text>
    </comment>
    <comment ref="A447" authorId="0" shapeId="0">
      <text>
        <r>
          <rPr>
            <b/>
            <sz val="9"/>
            <color indexed="81"/>
            <rFont val="Tahoma"/>
            <family val="2"/>
          </rPr>
          <t>CHINA</t>
        </r>
      </text>
    </comment>
    <comment ref="A451" authorId="0" shapeId="0">
      <text>
        <r>
          <rPr>
            <b/>
            <sz val="9"/>
            <color indexed="81"/>
            <rFont val="Tahoma"/>
            <family val="2"/>
          </rPr>
          <t>CHINA</t>
        </r>
      </text>
    </comment>
    <comment ref="A454" authorId="0" shapeId="0">
      <text>
        <r>
          <rPr>
            <b/>
            <sz val="9"/>
            <color indexed="81"/>
            <rFont val="Tahoma"/>
            <family val="2"/>
          </rPr>
          <t>PRODUCTION ARRÊTEE</t>
        </r>
      </text>
    </comment>
    <comment ref="A458" authorId="0" shapeId="0">
      <text>
        <r>
          <rPr>
            <b/>
            <sz val="9"/>
            <color indexed="81"/>
            <rFont val="Tahoma"/>
            <family val="2"/>
          </rPr>
          <t>FRANCE</t>
        </r>
      </text>
    </comment>
    <comment ref="A464" authorId="0" shapeId="0">
      <text>
        <r>
          <rPr>
            <b/>
            <sz val="9"/>
            <color indexed="81"/>
            <rFont val="Tahoma"/>
            <family val="2"/>
          </rPr>
          <t>FRANCE</t>
        </r>
      </text>
    </comment>
    <comment ref="A467" authorId="0" shapeId="0">
      <text>
        <r>
          <rPr>
            <b/>
            <sz val="9"/>
            <color indexed="81"/>
            <rFont val="Tahoma"/>
            <family val="2"/>
          </rPr>
          <t>FRANCE</t>
        </r>
      </text>
    </comment>
    <comment ref="B473" authorId="0" shapeId="0">
      <text>
        <r>
          <rPr>
            <b/>
            <sz val="9"/>
            <color indexed="81"/>
            <rFont val="Tahoma"/>
            <family val="2"/>
          </rPr>
          <t>BRAZIL</t>
        </r>
      </text>
    </comment>
    <comment ref="B477" authorId="0" shapeId="0">
      <text>
        <r>
          <rPr>
            <b/>
            <sz val="9"/>
            <color indexed="81"/>
            <rFont val="Tahoma"/>
            <family val="2"/>
          </rPr>
          <t>BRAZIL</t>
        </r>
      </text>
    </comment>
    <comment ref="B480" authorId="0" shapeId="0">
      <text>
        <r>
          <rPr>
            <b/>
            <sz val="9"/>
            <color indexed="81"/>
            <rFont val="Tahoma"/>
            <family val="2"/>
          </rPr>
          <t>BRAZIL</t>
        </r>
      </text>
    </comment>
    <comment ref="B491" authorId="0" shapeId="0">
      <text>
        <r>
          <rPr>
            <b/>
            <sz val="9"/>
            <color indexed="81"/>
            <rFont val="Tahoma"/>
            <family val="2"/>
          </rPr>
          <t>CHINA</t>
        </r>
      </text>
    </comment>
    <comment ref="B492" authorId="0" shapeId="0">
      <text>
        <r>
          <rPr>
            <b/>
            <sz val="9"/>
            <color indexed="81"/>
            <rFont val="Tahoma"/>
            <family val="2"/>
          </rPr>
          <t>CHINA</t>
        </r>
      </text>
    </comment>
    <comment ref="B493" authorId="0" shapeId="0">
      <text>
        <r>
          <rPr>
            <b/>
            <sz val="9"/>
            <color indexed="81"/>
            <rFont val="Tahoma"/>
            <family val="2"/>
          </rPr>
          <t>CHINA</t>
        </r>
      </text>
    </comment>
    <comment ref="B494" authorId="0" shapeId="0">
      <text>
        <r>
          <rPr>
            <b/>
            <sz val="9"/>
            <color indexed="81"/>
            <rFont val="Tahoma"/>
            <family val="2"/>
          </rPr>
          <t>ITALY</t>
        </r>
      </text>
    </comment>
    <comment ref="B495" authorId="0" shapeId="0">
      <text>
        <r>
          <rPr>
            <b/>
            <sz val="9"/>
            <color indexed="81"/>
            <rFont val="Tahoma"/>
            <family val="2"/>
          </rPr>
          <t>ITALY</t>
        </r>
      </text>
    </comment>
    <comment ref="B496" authorId="0" shapeId="0">
      <text>
        <r>
          <rPr>
            <b/>
            <sz val="9"/>
            <color indexed="81"/>
            <rFont val="Tahoma"/>
            <family val="2"/>
          </rPr>
          <t>CHINA</t>
        </r>
      </text>
    </comment>
    <comment ref="B497" authorId="0" shapeId="0">
      <text>
        <r>
          <rPr>
            <b/>
            <sz val="9"/>
            <color indexed="81"/>
            <rFont val="Tahoma"/>
            <family val="2"/>
          </rPr>
          <t>CHINA</t>
        </r>
      </text>
    </comment>
  </commentList>
</comments>
</file>

<file path=xl/sharedStrings.xml><?xml version="1.0" encoding="utf-8"?>
<sst xmlns="http://schemas.openxmlformats.org/spreadsheetml/2006/main" count="3143" uniqueCount="1202">
  <si>
    <t>YTD vs B2025</t>
  </si>
  <si>
    <t>Objectif</t>
  </si>
  <si>
    <t>Réalisé</t>
  </si>
  <si>
    <t>%</t>
  </si>
  <si>
    <t>Nombre de visites clients</t>
  </si>
  <si>
    <t>Nombre d'offres commerciales</t>
  </si>
  <si>
    <t>Taux de clôture</t>
  </si>
  <si>
    <t>QTE MANITOU</t>
  </si>
  <si>
    <t>QTE KALMAR</t>
  </si>
  <si>
    <t>QTE MASSEY FERGUSON</t>
  </si>
  <si>
    <t>QTE NARDI</t>
  </si>
  <si>
    <t>QTE TOTAL VENTES</t>
  </si>
  <si>
    <t>Chiffre d'Affaires (HT) FCFA</t>
  </si>
  <si>
    <t>Nombre de Machines en stock</t>
  </si>
  <si>
    <t>Valeur stock Machines FCFA</t>
  </si>
  <si>
    <t xml:space="preserve"> </t>
  </si>
  <si>
    <t>Y. MOUSSONG</t>
  </si>
  <si>
    <t>D. SIAKA</t>
  </si>
  <si>
    <t>DATE</t>
  </si>
  <si>
    <t>CLIENT</t>
  </si>
  <si>
    <t>MARQUE</t>
  </si>
  <si>
    <t>MODÈLE</t>
  </si>
  <si>
    <t>S/N</t>
  </si>
  <si>
    <t>GAMME</t>
  </si>
  <si>
    <t>PAYS</t>
  </si>
  <si>
    <t>VENDEUR</t>
  </si>
  <si>
    <t>CA HT</t>
  </si>
  <si>
    <t>SRC</t>
  </si>
  <si>
    <t>MANITOU</t>
  </si>
  <si>
    <t>MLT-X741</t>
  </si>
  <si>
    <t>MXT/MT/MLT/MHT/MRT</t>
  </si>
  <si>
    <t>CAMEROUN</t>
  </si>
  <si>
    <t>M-X50-2</t>
  </si>
  <si>
    <t>MC/M</t>
  </si>
  <si>
    <t>PREVISION FACTURATION</t>
  </si>
  <si>
    <t>N° COMMANDE</t>
  </si>
  <si>
    <t>PARTS</t>
  </si>
  <si>
    <t>ACC. MANUTENTION</t>
  </si>
  <si>
    <t>NARDI</t>
  </si>
  <si>
    <t>ACC. AGRICOLE</t>
  </si>
  <si>
    <t>MASSEY FERGUSON</t>
  </si>
  <si>
    <t>HARVESTER COMBINE</t>
  </si>
  <si>
    <t>MAIZSTORM 4 ROWS</t>
  </si>
  <si>
    <t>MF7S.155</t>
  </si>
  <si>
    <t>MF BEAUVAIS SERIES</t>
  </si>
  <si>
    <t>MF6713 ESS 4WD</t>
  </si>
  <si>
    <t>28FVPT/61</t>
  </si>
  <si>
    <t>20FVPT/61</t>
  </si>
  <si>
    <t>MF375 XTRA 4WD</t>
  </si>
  <si>
    <t>MF 300</t>
  </si>
  <si>
    <t>TDPE48/D</t>
  </si>
  <si>
    <t>PRIX D'ACHAT HT</t>
  </si>
  <si>
    <t>ETA</t>
  </si>
  <si>
    <t>Date</t>
  </si>
  <si>
    <t>Commercial en charge</t>
  </si>
  <si>
    <t>Client</t>
  </si>
  <si>
    <t xml:space="preserve">Nom du projet </t>
  </si>
  <si>
    <t>Marques</t>
  </si>
  <si>
    <t>Modèle</t>
  </si>
  <si>
    <t>Qté</t>
  </si>
  <si>
    <t>CA Potentiel</t>
  </si>
  <si>
    <t>Marge prévisonnelle 
%</t>
  </si>
  <si>
    <t>Date de closing prévue</t>
  </si>
  <si>
    <t>WIN ou LOST</t>
  </si>
  <si>
    <t>Marque de la concurrence</t>
  </si>
  <si>
    <t>Modèle de la concurrence</t>
  </si>
  <si>
    <t>Prix de la concurrence</t>
  </si>
  <si>
    <t>commentaires</t>
  </si>
  <si>
    <t>MXT1740P</t>
  </si>
  <si>
    <t>EN COURS</t>
  </si>
  <si>
    <t>KALMAR</t>
  </si>
  <si>
    <t>DRU450-62S5</t>
  </si>
  <si>
    <t>QDE48/D</t>
  </si>
  <si>
    <t>DCG160-12T</t>
  </si>
  <si>
    <t>REPORTE</t>
  </si>
  <si>
    <t>120NST</t>
  </si>
  <si>
    <t>DCU80-45ES7</t>
  </si>
  <si>
    <t>NMPSD/6</t>
  </si>
  <si>
    <t>24FLPTF/56</t>
  </si>
  <si>
    <t>VERRATO V5</t>
  </si>
  <si>
    <t>NBLSN230</t>
  </si>
  <si>
    <t>SPDD800</t>
  </si>
  <si>
    <t>PT70+5A45R</t>
  </si>
  <si>
    <t>13TME</t>
  </si>
  <si>
    <t>80NSO</t>
  </si>
  <si>
    <t>22FLPTF/56</t>
  </si>
  <si>
    <t>NFR7</t>
  </si>
  <si>
    <t>EP20</t>
  </si>
  <si>
    <t>Pince à pipe</t>
  </si>
  <si>
    <t>MI-X100D</t>
  </si>
  <si>
    <t>MF8S.245</t>
  </si>
  <si>
    <t>MI-X50D</t>
  </si>
  <si>
    <t>ME425</t>
  </si>
  <si>
    <t>ME430</t>
  </si>
  <si>
    <t>PDE80/E</t>
  </si>
  <si>
    <t>20FCIMG/61</t>
  </si>
  <si>
    <t>160ATJ</t>
  </si>
  <si>
    <t>ES614</t>
  </si>
  <si>
    <t>RESULTATS</t>
  </si>
  <si>
    <t>MARQUES</t>
  </si>
  <si>
    <t>CATEGORIES</t>
  </si>
  <si>
    <t>MODELES</t>
  </si>
  <si>
    <t>STOCK</t>
  </si>
  <si>
    <t>CF</t>
  </si>
  <si>
    <t>CC</t>
  </si>
  <si>
    <t>VENTES 12 MOIS</t>
  </si>
  <si>
    <t>A CDER</t>
  </si>
  <si>
    <t>Délais Fournisseur</t>
  </si>
  <si>
    <t>Délais Transit</t>
  </si>
  <si>
    <t>Délais sécurité</t>
  </si>
  <si>
    <t>RETENUE</t>
  </si>
  <si>
    <t>COMMENTAIRES</t>
  </si>
  <si>
    <t>facturation</t>
  </si>
  <si>
    <t>M-X</t>
  </si>
  <si>
    <t>50-2</t>
  </si>
  <si>
    <t>50-4</t>
  </si>
  <si>
    <t>MI-X</t>
  </si>
  <si>
    <t>25D</t>
  </si>
  <si>
    <t>MF GLOBAL SERIES</t>
  </si>
  <si>
    <t>MF4708 (82Cv)</t>
  </si>
  <si>
    <t>RST</t>
  </si>
  <si>
    <t>40D</t>
  </si>
  <si>
    <t>MLT-X</t>
  </si>
  <si>
    <t>741-140</t>
  </si>
  <si>
    <t>MAN'GO</t>
  </si>
  <si>
    <t>MAN'GO12</t>
  </si>
  <si>
    <t>MXT</t>
  </si>
  <si>
    <t>1740P</t>
  </si>
  <si>
    <t>50D</t>
  </si>
  <si>
    <t>MF6713 (132Cv)</t>
  </si>
  <si>
    <t>ER</t>
  </si>
  <si>
    <t>CHARRUE A DISQUE 3 DISQUES</t>
  </si>
  <si>
    <t>75Cv</t>
  </si>
  <si>
    <t>7TME</t>
  </si>
  <si>
    <t>CULTIVATEUR 7 DOIGTS</t>
  </si>
  <si>
    <t>ED70/E</t>
  </si>
  <si>
    <t>CHARRUE A DISQUE 6 DISQUES</t>
  </si>
  <si>
    <t>160-180Cv</t>
  </si>
  <si>
    <t>CHARRUE A DISQUE 5 DISQUES</t>
  </si>
  <si>
    <t>102Cv</t>
  </si>
  <si>
    <t>ME</t>
  </si>
  <si>
    <t>VERRATO V5 (175Cv)</t>
  </si>
  <si>
    <t>MF7S.155 (155Cv)</t>
  </si>
  <si>
    <t>TETE DE RECOLTE MAIS</t>
  </si>
  <si>
    <t>NGD800/15</t>
  </si>
  <si>
    <t>PULVERISATEUR PORTE MECANIQUE</t>
  </si>
  <si>
    <t>80Cv</t>
  </si>
  <si>
    <t>PULVERISEUR A DISQUES</t>
  </si>
  <si>
    <t>36FIMG/61</t>
  </si>
  <si>
    <t>ED70/F</t>
  </si>
  <si>
    <t>132Cv</t>
  </si>
  <si>
    <t>GYROBROYEUR</t>
  </si>
  <si>
    <t>80Cv / 102Cv / 132Cv</t>
  </si>
  <si>
    <t>STARSEM FP570/8</t>
  </si>
  <si>
    <t>SEMOIR DE PRECISION (Maïs, Sorgho, Soja, Arachide, Haricot) PNEUMATIQUE</t>
  </si>
  <si>
    <t>ZS/NT230C</t>
  </si>
  <si>
    <t>FRAISE ROTATIVE</t>
  </si>
  <si>
    <t>26J-BCB</t>
  </si>
  <si>
    <t>ATJ</t>
  </si>
  <si>
    <t>160ATJ+ RC</t>
  </si>
  <si>
    <t>BALAYEUSES</t>
  </si>
  <si>
    <t>USED</t>
  </si>
  <si>
    <t>COMIA C12</t>
  </si>
  <si>
    <t>ECH</t>
  </si>
  <si>
    <t>FLT</t>
  </si>
  <si>
    <t>DCG330-12</t>
  </si>
  <si>
    <t>DRG450-65S5E</t>
  </si>
  <si>
    <t>TT</t>
  </si>
  <si>
    <t>TL2</t>
  </si>
  <si>
    <t>180ATJ</t>
  </si>
  <si>
    <t>200ATJ</t>
  </si>
  <si>
    <t>EP</t>
  </si>
  <si>
    <t>15 EASY</t>
  </si>
  <si>
    <t>16 EASY</t>
  </si>
  <si>
    <t>20P EASY</t>
  </si>
  <si>
    <t>14</t>
  </si>
  <si>
    <t>16</t>
  </si>
  <si>
    <t>ES</t>
  </si>
  <si>
    <t>412</t>
  </si>
  <si>
    <t>616</t>
  </si>
  <si>
    <t>720</t>
  </si>
  <si>
    <t>820</t>
  </si>
  <si>
    <t>MC-X</t>
  </si>
  <si>
    <t>30-2</t>
  </si>
  <si>
    <t>320</t>
  </si>
  <si>
    <t>435</t>
  </si>
  <si>
    <t>440</t>
  </si>
  <si>
    <t>450</t>
  </si>
  <si>
    <t>315C</t>
  </si>
  <si>
    <t>425C</t>
  </si>
  <si>
    <t>MHT-X</t>
  </si>
  <si>
    <t>790</t>
  </si>
  <si>
    <t>790 MINING</t>
  </si>
  <si>
    <t>15D</t>
  </si>
  <si>
    <t>15G</t>
  </si>
  <si>
    <t>20D</t>
  </si>
  <si>
    <t>20G</t>
  </si>
  <si>
    <t>25G</t>
  </si>
  <si>
    <t>30G</t>
  </si>
  <si>
    <t>35G</t>
  </si>
  <si>
    <t>45D</t>
  </si>
  <si>
    <t>45G</t>
  </si>
  <si>
    <t>50G</t>
  </si>
  <si>
    <t>50LD</t>
  </si>
  <si>
    <t>50LG</t>
  </si>
  <si>
    <t>60D</t>
  </si>
  <si>
    <t>60G</t>
  </si>
  <si>
    <t>70G</t>
  </si>
  <si>
    <t>1035 LT LSU</t>
  </si>
  <si>
    <t>732-120</t>
  </si>
  <si>
    <t>735 T LSU</t>
  </si>
  <si>
    <t>MLT-X NewAg</t>
  </si>
  <si>
    <t>737-130 PS+ CAB A/C</t>
  </si>
  <si>
    <t>741-140 V+</t>
  </si>
  <si>
    <t>MLT-X NewAg XL</t>
  </si>
  <si>
    <t>1041-145 PS+L</t>
  </si>
  <si>
    <t>841-145 PS+</t>
  </si>
  <si>
    <t>961-160 V+ L</t>
  </si>
  <si>
    <t>MRT-X</t>
  </si>
  <si>
    <t>3570ES</t>
  </si>
  <si>
    <t>MSI</t>
  </si>
  <si>
    <t>20T</t>
  </si>
  <si>
    <t>25T</t>
  </si>
  <si>
    <t>30T</t>
  </si>
  <si>
    <t>35T</t>
  </si>
  <si>
    <t>40T</t>
  </si>
  <si>
    <t>50T</t>
  </si>
  <si>
    <t>MT-X</t>
  </si>
  <si>
    <t>625</t>
  </si>
  <si>
    <t>1440</t>
  </si>
  <si>
    <t>1840</t>
  </si>
  <si>
    <t>1030 MINING</t>
  </si>
  <si>
    <t>1440A</t>
  </si>
  <si>
    <t>1840A</t>
  </si>
  <si>
    <t>733 MINING</t>
  </si>
  <si>
    <t>70-2</t>
  </si>
  <si>
    <t>TJ</t>
  </si>
  <si>
    <t>220TJ</t>
  </si>
  <si>
    <t>280TJ</t>
  </si>
  <si>
    <t>MF360 XTRA 4WD</t>
  </si>
  <si>
    <t>MF7S.180 (180Cv)</t>
  </si>
  <si>
    <t>MF7S.210 (210Cv)</t>
  </si>
  <si>
    <t>MF8737S (370Cv)</t>
  </si>
  <si>
    <t>MF8S.245 (245Cv)</t>
  </si>
  <si>
    <t>SPRAYER</t>
  </si>
  <si>
    <t>MF8225</t>
  </si>
  <si>
    <t>11TMR</t>
  </si>
  <si>
    <t>CULTIVATEUR 11 DOIGTS</t>
  </si>
  <si>
    <t>REMORQUE DEUX ESSIEUX BASCULEMENT HYDRAULIQUE TROIS CÔTES</t>
  </si>
  <si>
    <t>CULTIVATEUR 13 DOIGTS</t>
  </si>
  <si>
    <t>13TMR</t>
  </si>
  <si>
    <t>140NST</t>
  </si>
  <si>
    <t>102Cv / 132Cv</t>
  </si>
  <si>
    <t>17TMR</t>
  </si>
  <si>
    <t>CULTIVATEUR 17 DOIGTS</t>
  </si>
  <si>
    <t>180NST</t>
  </si>
  <si>
    <t>18FVPT/61</t>
  </si>
  <si>
    <t>20 BT2-SC7</t>
  </si>
  <si>
    <t>CHARRUE A SOC</t>
  </si>
  <si>
    <t>75Cv / 80Cv</t>
  </si>
  <si>
    <t>20FCI230/G</t>
  </si>
  <si>
    <t>26FCI230/G</t>
  </si>
  <si>
    <t>26FCIMG/61</t>
  </si>
  <si>
    <t>4RD66</t>
  </si>
  <si>
    <t>BILLONEUSE A DISQUE</t>
  </si>
  <si>
    <t>75Cv / 80Cv / 102Cv / 132Cv</t>
  </si>
  <si>
    <t>7 TME</t>
  </si>
  <si>
    <t>CULTIVATEUR</t>
  </si>
  <si>
    <t>REMORQUE UN ESSIEU BASCULEMENT HYDRAULIQUE ARRIERE</t>
  </si>
  <si>
    <t>9TMR</t>
  </si>
  <si>
    <t>CULTIVATEUR 9 DOIGTS</t>
  </si>
  <si>
    <t>ATOM M600</t>
  </si>
  <si>
    <t>ATOMISEUR PORTE</t>
  </si>
  <si>
    <t>ATOM M800</t>
  </si>
  <si>
    <t>ATOM T1500</t>
  </si>
  <si>
    <t>ATOMISEUR TRAINE</t>
  </si>
  <si>
    <t>ATOM T2000</t>
  </si>
  <si>
    <t>ATOM T3000</t>
  </si>
  <si>
    <t>NBLSN210</t>
  </si>
  <si>
    <t>NCPP/BD130</t>
  </si>
  <si>
    <t>RECOLTEUSE DE POMME DE TERRE</t>
  </si>
  <si>
    <t>NCPP/BD150</t>
  </si>
  <si>
    <t>NFR11</t>
  </si>
  <si>
    <t>SOUSOLEUSE 11 DOIGTS</t>
  </si>
  <si>
    <t>NFR13</t>
  </si>
  <si>
    <t>SOUSOLEUSE 13 DOIGTS</t>
  </si>
  <si>
    <t>NFR5</t>
  </si>
  <si>
    <t>SOUSOLEUSE 5 DOIGTS</t>
  </si>
  <si>
    <t>SOUSOLEUSE 7 DOIGTS</t>
  </si>
  <si>
    <t>NFR9</t>
  </si>
  <si>
    <t>SOUSOLEUSE 9 DOIGTS</t>
  </si>
  <si>
    <t>NGD600/12</t>
  </si>
  <si>
    <t>NMH/AF</t>
  </si>
  <si>
    <t>RECOLTEUSE DE MANIOC</t>
  </si>
  <si>
    <t>NMPSD/4</t>
  </si>
  <si>
    <t>SEMOIR DE PRECISION (Maïs, Sorgho, Soja, Arachide, Haricot) MECANIQUE AVEC EPANDEUR</t>
  </si>
  <si>
    <t>NMPSD/8</t>
  </si>
  <si>
    <t>NPHD100-140-3</t>
  </si>
  <si>
    <t>TARIERE AVEC INVERSEUR HYDRAULIQUE</t>
  </si>
  <si>
    <t>132Cv / 160-180Cv</t>
  </si>
  <si>
    <t>NPHD80-130</t>
  </si>
  <si>
    <t>TARIERE</t>
  </si>
  <si>
    <t>75Cv / 80Cv / 102Cv</t>
  </si>
  <si>
    <t>NSPA/4D</t>
  </si>
  <si>
    <t>PLANTEUSE POMME DE TERRE</t>
  </si>
  <si>
    <t>NT/TU40</t>
  </si>
  <si>
    <t>PLANTEUSE DE BOUTURE DE MANIOC</t>
  </si>
  <si>
    <t>NTPA/PP4D</t>
  </si>
  <si>
    <t>PD70/F</t>
  </si>
  <si>
    <t>PRINCE 200/5</t>
  </si>
  <si>
    <t>PRINCE 250/7</t>
  </si>
  <si>
    <t>BILLONEUSE A SOC</t>
  </si>
  <si>
    <t>PT80+7A45R/120</t>
  </si>
  <si>
    <t>QD70/E</t>
  </si>
  <si>
    <t>CHARRUE A DISQUE 4 DISQUES</t>
  </si>
  <si>
    <t>QUEEN 300/7</t>
  </si>
  <si>
    <t>REGINA RS250/15</t>
  </si>
  <si>
    <t>SEMOIR EN LIGNE (Blé, Riz, Orge)</t>
  </si>
  <si>
    <t>REGINA RS300/19</t>
  </si>
  <si>
    <t>REGINA RS350/23</t>
  </si>
  <si>
    <t>REGINA RS400/27</t>
  </si>
  <si>
    <t>REGINA RSC300/19</t>
  </si>
  <si>
    <t>SEMOIR EN LIGNE (Blé, Riz, Orge) AVEC EPANDEUR</t>
  </si>
  <si>
    <t>REGINA RSC350/23</t>
  </si>
  <si>
    <t>REGINA RSC400/27</t>
  </si>
  <si>
    <t>RIO 3000/24</t>
  </si>
  <si>
    <t>PULVERISATEUR TRAINE HYDRAULIQUE</t>
  </si>
  <si>
    <t>RIO 4200/24</t>
  </si>
  <si>
    <t>SP500</t>
  </si>
  <si>
    <t>EPANDEUR ENGRAIS</t>
  </si>
  <si>
    <t>SPDD1200</t>
  </si>
  <si>
    <t>SPDD1500</t>
  </si>
  <si>
    <t>STARSEM FP250/4</t>
  </si>
  <si>
    <t>STARSEM FP250/4+</t>
  </si>
  <si>
    <t>SEMOIR DE PRECISION (Maïs, Sorgho, Soja, Arachide, Haricot) PNEUMATIQUE AVEC EPANDEUR</t>
  </si>
  <si>
    <t>STARSEM FP410/6</t>
  </si>
  <si>
    <t>STARSEM FP410/6+</t>
  </si>
  <si>
    <t>STARSEM FP570/8+</t>
  </si>
  <si>
    <t>STARSEM FP860/12</t>
  </si>
  <si>
    <t>STARSEM FP860/12+</t>
  </si>
  <si>
    <t>STRATUS 2000/15</t>
  </si>
  <si>
    <t>TD70/E</t>
  </si>
  <si>
    <t>Z6/NT185C</t>
  </si>
  <si>
    <t>Z6/NT210C</t>
  </si>
  <si>
    <t>ZED70/I</t>
  </si>
  <si>
    <t>CHARRUE A DISQUE 6 DISQUES REVERSIBLES</t>
  </si>
  <si>
    <t>ZPD70/I</t>
  </si>
  <si>
    <t>CHARRUE A DISQUE 5 DISQUES REVERSIBLES</t>
  </si>
  <si>
    <t>ZQD70/I</t>
  </si>
  <si>
    <t>CHARRUE A DISQUE 4 DISQUES REVERSIBLES</t>
  </si>
  <si>
    <t>ZS/NT260</t>
  </si>
  <si>
    <t>ZTD70/I</t>
  </si>
  <si>
    <t>CHARRUE A DISQUE 3 DISQUES REVERSIBLES</t>
  </si>
  <si>
    <t>MC</t>
  </si>
  <si>
    <t>MF5710 (102Cv)</t>
  </si>
  <si>
    <t>30-4</t>
  </si>
  <si>
    <t>100D</t>
  </si>
  <si>
    <t>40G</t>
  </si>
  <si>
    <t>18G</t>
  </si>
  <si>
    <t>840P</t>
  </si>
  <si>
    <t>18D</t>
  </si>
  <si>
    <t>70D</t>
  </si>
  <si>
    <t>MF385 XTRA 4WD</t>
  </si>
  <si>
    <t>35D</t>
  </si>
  <si>
    <t>30D</t>
  </si>
  <si>
    <t>20 EASY</t>
  </si>
  <si>
    <t>TAE</t>
  </si>
  <si>
    <t>Jan</t>
  </si>
  <si>
    <t>Fev</t>
  </si>
  <si>
    <t>Mar</t>
  </si>
  <si>
    <t>Avr</t>
  </si>
  <si>
    <t>Mai</t>
  </si>
  <si>
    <t>Jui</t>
  </si>
  <si>
    <t>Juil</t>
  </si>
  <si>
    <t>Aou</t>
  </si>
  <si>
    <t>Sep</t>
  </si>
  <si>
    <t>Oct</t>
  </si>
  <si>
    <t>Nov</t>
  </si>
  <si>
    <t>Dec</t>
  </si>
  <si>
    <t>STU Con</t>
  </si>
  <si>
    <t>All Sales Models</t>
  </si>
  <si>
    <t>315C TLL48 24V</t>
  </si>
  <si>
    <t/>
  </si>
  <si>
    <t>315 TLL45 48V</t>
  </si>
  <si>
    <t>316 TLL50 48V</t>
  </si>
  <si>
    <t>318 TLL50 48V</t>
  </si>
  <si>
    <t>320 TLL50 48V</t>
  </si>
  <si>
    <t>418</t>
  </si>
  <si>
    <t>420 TLL50 48V</t>
  </si>
  <si>
    <t>425C TLL50 48V</t>
  </si>
  <si>
    <t>425 TLL48 80V</t>
  </si>
  <si>
    <t>430 TLL48 80V</t>
  </si>
  <si>
    <t>435 TLL43 80V</t>
  </si>
  <si>
    <t>445</t>
  </si>
  <si>
    <t>18D TLL47</t>
  </si>
  <si>
    <t>25D TLL47</t>
  </si>
  <si>
    <t>30D TLL47</t>
  </si>
  <si>
    <t>35D TLL47</t>
  </si>
  <si>
    <t>40D DLL30</t>
  </si>
  <si>
    <t>50D DLL30</t>
  </si>
  <si>
    <t>50D TLL45</t>
  </si>
  <si>
    <t>70D DLL33</t>
  </si>
  <si>
    <t>70D DLL3</t>
  </si>
  <si>
    <t>70D TLL45</t>
  </si>
  <si>
    <t>80D</t>
  </si>
  <si>
    <t>100D DVT33</t>
  </si>
  <si>
    <t>100D TLL50 CAB A/C</t>
  </si>
  <si>
    <t>30-4 DVT37 CAB A/C</t>
  </si>
  <si>
    <t>50-2 DVT37</t>
  </si>
  <si>
    <t>50-2 TLL45</t>
  </si>
  <si>
    <t>50-4 TLL45 CAB A/C</t>
  </si>
  <si>
    <t>50-4 DVT37</t>
  </si>
  <si>
    <t>70</t>
  </si>
  <si>
    <t>18-2</t>
  </si>
  <si>
    <t>18-4</t>
  </si>
  <si>
    <t>25-2</t>
  </si>
  <si>
    <t>25-4</t>
  </si>
  <si>
    <t>30-4 TLL40 CAB A/C</t>
  </si>
  <si>
    <t>CHARIOTS ELEVATEUR</t>
  </si>
  <si>
    <t>TMM</t>
  </si>
  <si>
    <t>20</t>
  </si>
  <si>
    <t>20-4W</t>
  </si>
  <si>
    <t>25</t>
  </si>
  <si>
    <t>25-4W</t>
  </si>
  <si>
    <t>TMT</t>
  </si>
  <si>
    <t>25I</t>
  </si>
  <si>
    <t>25S</t>
  </si>
  <si>
    <t>25P</t>
  </si>
  <si>
    <t>27S</t>
  </si>
  <si>
    <t>27P</t>
  </si>
  <si>
    <t>TMM/TMT</t>
  </si>
  <si>
    <t>EMA II</t>
  </si>
  <si>
    <t>13</t>
  </si>
  <si>
    <t>17</t>
  </si>
  <si>
    <t>18 HL-1</t>
  </si>
  <si>
    <t>18 HL-2</t>
  </si>
  <si>
    <t>20 HD-1</t>
  </si>
  <si>
    <t>20 HD-2</t>
  </si>
  <si>
    <t>12</t>
  </si>
  <si>
    <t>16 HD</t>
  </si>
  <si>
    <t>20 HD</t>
  </si>
  <si>
    <t>STACKY</t>
  </si>
  <si>
    <t>10</t>
  </si>
  <si>
    <t>KLEOS</t>
  </si>
  <si>
    <t>DMH</t>
  </si>
  <si>
    <t>HM</t>
  </si>
  <si>
    <t>EB</t>
  </si>
  <si>
    <t>CI</t>
  </si>
  <si>
    <t>10LC</t>
  </si>
  <si>
    <t>12PF</t>
  </si>
  <si>
    <t>CT</t>
  </si>
  <si>
    <t>30</t>
  </si>
  <si>
    <t>40</t>
  </si>
  <si>
    <t>50</t>
  </si>
  <si>
    <t>15 LITHIUM EASY</t>
  </si>
  <si>
    <t>18</t>
  </si>
  <si>
    <t>22</t>
  </si>
  <si>
    <t>22P FR 6</t>
  </si>
  <si>
    <t>22P FR 9</t>
  </si>
  <si>
    <t>730</t>
  </si>
  <si>
    <t>740</t>
  </si>
  <si>
    <t>750</t>
  </si>
  <si>
    <t>410</t>
  </si>
  <si>
    <t>410 ET</t>
  </si>
  <si>
    <t>410 LE</t>
  </si>
  <si>
    <t>412 ET</t>
  </si>
  <si>
    <t>412 LE</t>
  </si>
  <si>
    <t>414</t>
  </si>
  <si>
    <t>420 DL</t>
  </si>
  <si>
    <t>420 DL PFR 6</t>
  </si>
  <si>
    <t>420 DL PFR 9</t>
  </si>
  <si>
    <t>612 LI</t>
  </si>
  <si>
    <t>612 LI (5Pts)</t>
  </si>
  <si>
    <t>614</t>
  </si>
  <si>
    <t>614 (5Pts)</t>
  </si>
  <si>
    <t>614 LI</t>
  </si>
  <si>
    <t>614 LI (5Pts)</t>
  </si>
  <si>
    <t>616 (5Pts)</t>
  </si>
  <si>
    <t>616 LI</t>
  </si>
  <si>
    <t>616 LI (5Pts)</t>
  </si>
  <si>
    <t>720 FR</t>
  </si>
  <si>
    <t>725</t>
  </si>
  <si>
    <t>820 LI</t>
  </si>
  <si>
    <t>504GPF</t>
  </si>
  <si>
    <t>507GPF</t>
  </si>
  <si>
    <t>510GPF</t>
  </si>
  <si>
    <t>ES-C</t>
  </si>
  <si>
    <t>711</t>
  </si>
  <si>
    <t>713</t>
  </si>
  <si>
    <t>716</t>
  </si>
  <si>
    <t>MAGASINAGE</t>
  </si>
  <si>
    <t>625-75 H</t>
  </si>
  <si>
    <t>KUBOTA 75Cv-55.4kW</t>
  </si>
  <si>
    <t>732</t>
  </si>
  <si>
    <t>PERKINS 95Cv-70kW</t>
  </si>
  <si>
    <t>PERKINS 101Cv-74.5kW</t>
  </si>
  <si>
    <t>DEUTZ 129Cv-95kW</t>
  </si>
  <si>
    <t>DEUTZ 136Cv-100kW</t>
  </si>
  <si>
    <t>YANMAR 141Cv-105kW</t>
  </si>
  <si>
    <t>YANMAR 156Cv-115kW</t>
  </si>
  <si>
    <t>420 H</t>
  </si>
  <si>
    <t>625 H</t>
  </si>
  <si>
    <t>733</t>
  </si>
  <si>
    <t>1033</t>
  </si>
  <si>
    <t>1033 MINING</t>
  </si>
  <si>
    <t>1440 A</t>
  </si>
  <si>
    <t>1840 BIGBAG</t>
  </si>
  <si>
    <t>1840 A</t>
  </si>
  <si>
    <t>1470P</t>
  </si>
  <si>
    <t>790 145Y ST3A S1</t>
  </si>
  <si>
    <t>790 145Y MINING ST3A S1</t>
  </si>
  <si>
    <t>10130</t>
  </si>
  <si>
    <t>10130 MINING</t>
  </si>
  <si>
    <t>10135 175Y ST3A S1</t>
  </si>
  <si>
    <t>10160 175Y ST3A S1</t>
  </si>
  <si>
    <t>10180</t>
  </si>
  <si>
    <t>10180 MINING</t>
  </si>
  <si>
    <t>10200 210Y ST3A S1</t>
  </si>
  <si>
    <t>10230</t>
  </si>
  <si>
    <t>10230 MINING</t>
  </si>
  <si>
    <t>11250 210Y ST3 S1</t>
  </si>
  <si>
    <t>11250 210Y MINING ST3A S1</t>
  </si>
  <si>
    <t>12330 245D ST3A S1</t>
  </si>
  <si>
    <t>TELESCOPIQUES</t>
  </si>
  <si>
    <t>1645 400 115D ST3 S1 VISION</t>
  </si>
  <si>
    <t>1845 400 115D ST3 S1 VISION</t>
  </si>
  <si>
    <t>2145 400 115D ST3 S1 VISION</t>
  </si>
  <si>
    <t>2545 400 115D ST3 S1 VISION</t>
  </si>
  <si>
    <t>2260 360 160Y ST3A S1 VISION+</t>
  </si>
  <si>
    <t>2570 360 175Y ST3A S1 VISION+</t>
  </si>
  <si>
    <t>2660 360 160Y ST3A S1 VISION+</t>
  </si>
  <si>
    <t>3060 360 175Y ST3A S1 VISION+</t>
  </si>
  <si>
    <t>3570 360 210Y ST3A S1 VISION+</t>
  </si>
  <si>
    <t>3570 ES 360 210Y ST3A S1 VISION+</t>
  </si>
  <si>
    <t>MRT</t>
  </si>
  <si>
    <t>220TJ+</t>
  </si>
  <si>
    <t>260TJ+</t>
  </si>
  <si>
    <t>SEC</t>
  </si>
  <si>
    <t>78SEC</t>
  </si>
  <si>
    <t>100SEC</t>
  </si>
  <si>
    <t>SE</t>
  </si>
  <si>
    <t>120SE</t>
  </si>
  <si>
    <t>SC</t>
  </si>
  <si>
    <t>100SC</t>
  </si>
  <si>
    <t>120SC</t>
  </si>
  <si>
    <t>140SC</t>
  </si>
  <si>
    <t>VJR</t>
  </si>
  <si>
    <t>80VJR</t>
  </si>
  <si>
    <t>100VJR</t>
  </si>
  <si>
    <t>90V'AIR</t>
  </si>
  <si>
    <t>120AETJ-C</t>
  </si>
  <si>
    <t>150AETJ-C</t>
  </si>
  <si>
    <t>170AETJ-L</t>
  </si>
  <si>
    <t>150AETJ-L BI-ENERGY</t>
  </si>
  <si>
    <t>170AETJ-L BI-ENERGY</t>
  </si>
  <si>
    <t>160ATJ+</t>
  </si>
  <si>
    <t>200ATJ E</t>
  </si>
  <si>
    <t>NACELLES</t>
  </si>
  <si>
    <t>MLB-X</t>
  </si>
  <si>
    <t>900 90KL ST3</t>
  </si>
  <si>
    <t>920 92P ST2</t>
  </si>
  <si>
    <t>920 94P ST3</t>
  </si>
  <si>
    <t>BACKHOE LOADER</t>
  </si>
  <si>
    <t>MLA-T</t>
  </si>
  <si>
    <t>516-75H</t>
  </si>
  <si>
    <t>CHARGEUR ARTICULE</t>
  </si>
  <si>
    <t>1050 RT</t>
  </si>
  <si>
    <t>1350 RT</t>
  </si>
  <si>
    <t>1650 RT</t>
  </si>
  <si>
    <t>1750 RT</t>
  </si>
  <si>
    <t>1850 RT</t>
  </si>
  <si>
    <t>CHARGEUR COMPACT SUR CHENILLE</t>
  </si>
  <si>
    <t>850 R</t>
  </si>
  <si>
    <t>1050 R</t>
  </si>
  <si>
    <t>1340 R</t>
  </si>
  <si>
    <t>1350 R</t>
  </si>
  <si>
    <t>1500 R</t>
  </si>
  <si>
    <t>1650 R</t>
  </si>
  <si>
    <t>1900 R</t>
  </si>
  <si>
    <t>2200 R</t>
  </si>
  <si>
    <t>2600 R</t>
  </si>
  <si>
    <t>2700 V</t>
  </si>
  <si>
    <t>3300 V</t>
  </si>
  <si>
    <t>CHARGEUR COMPACT SUR PNEUS</t>
  </si>
  <si>
    <t>MANITOU - All Sales Models</t>
  </si>
  <si>
    <t>ECG50-90</t>
  </si>
  <si>
    <t>ECG50-6</t>
  </si>
  <si>
    <t>ECG50-6 LI</t>
  </si>
  <si>
    <t>ECG55-6</t>
  </si>
  <si>
    <t>ECG60-6</t>
  </si>
  <si>
    <t>ECG70-6</t>
  </si>
  <si>
    <t>ECG80-6</t>
  </si>
  <si>
    <t>ECG80-9</t>
  </si>
  <si>
    <t>ECG80-9S</t>
  </si>
  <si>
    <t>ECG80-11</t>
  </si>
  <si>
    <t>ECG90-6L</t>
  </si>
  <si>
    <t>ECG90-6LS</t>
  </si>
  <si>
    <t>ECG90-180</t>
  </si>
  <si>
    <t>ECG90-6</t>
  </si>
  <si>
    <t>ECG100-6</t>
  </si>
  <si>
    <t>ECG100-6 LI</t>
  </si>
  <si>
    <t>ECG120-6</t>
  </si>
  <si>
    <t>ECG127-6</t>
  </si>
  <si>
    <t>ECG140-6S</t>
  </si>
  <si>
    <t>ECG140-6</t>
  </si>
  <si>
    <t>ECG100-12S</t>
  </si>
  <si>
    <t>ECG100-12</t>
  </si>
  <si>
    <t>ECG120-12S</t>
  </si>
  <si>
    <t>ECG120-12</t>
  </si>
  <si>
    <t>ECG150-6S</t>
  </si>
  <si>
    <t>ECG150-6</t>
  </si>
  <si>
    <t>ECG150-12</t>
  </si>
  <si>
    <t>ECG160-6S</t>
  </si>
  <si>
    <t>ECG160-6</t>
  </si>
  <si>
    <t>ECG160-9S</t>
  </si>
  <si>
    <t>ECG160-9</t>
  </si>
  <si>
    <t>ECG160-12</t>
  </si>
  <si>
    <t>ECG180-6S</t>
  </si>
  <si>
    <t>ECG180-6</t>
  </si>
  <si>
    <t>ECG70-35E3</t>
  </si>
  <si>
    <t>ECG70-35E4</t>
  </si>
  <si>
    <t>DCG100-180</t>
  </si>
  <si>
    <t>DCG100-6</t>
  </si>
  <si>
    <t>DCG120-6</t>
  </si>
  <si>
    <t>DCG127-6</t>
  </si>
  <si>
    <t>DCG140-6</t>
  </si>
  <si>
    <t>DCG150-6</t>
  </si>
  <si>
    <t>DCG100-12</t>
  </si>
  <si>
    <t>DCG120-12</t>
  </si>
  <si>
    <t>DCG150-12</t>
  </si>
  <si>
    <t>DCG160-6</t>
  </si>
  <si>
    <t>DCG160-9</t>
  </si>
  <si>
    <t>DCG160-12</t>
  </si>
  <si>
    <t>DCG180-6</t>
  </si>
  <si>
    <t>DCG70-35E3</t>
  </si>
  <si>
    <t>DCG70-35E4</t>
  </si>
  <si>
    <t>DCG180-330</t>
  </si>
  <si>
    <t>DCG180-12</t>
  </si>
  <si>
    <t>DCG200-12</t>
  </si>
  <si>
    <t>DCG220-12</t>
  </si>
  <si>
    <t>DCG250-12</t>
  </si>
  <si>
    <t>DCG280-12</t>
  </si>
  <si>
    <t>DCG300-12</t>
  </si>
  <si>
    <t>DCG380-540</t>
  </si>
  <si>
    <t>DCG380-12S</t>
  </si>
  <si>
    <t>DCG380-12</t>
  </si>
  <si>
    <t>DCG420-12S</t>
  </si>
  <si>
    <t>DCG420-12</t>
  </si>
  <si>
    <t>DCG450-12S</t>
  </si>
  <si>
    <t>DCG450-12</t>
  </si>
  <si>
    <t>DCG480-12S</t>
  </si>
  <si>
    <t>DCG480-12</t>
  </si>
  <si>
    <t>DCG520-12</t>
  </si>
  <si>
    <t>DCG540-12</t>
  </si>
  <si>
    <t>DCG600-720</t>
  </si>
  <si>
    <t>DCG600-15LB</t>
  </si>
  <si>
    <t>DCG620-15LB</t>
  </si>
  <si>
    <t>DCG650-12LB</t>
  </si>
  <si>
    <t>DCG680-12LB</t>
  </si>
  <si>
    <t>DCG700-12LB</t>
  </si>
  <si>
    <t>DCG720-10LB</t>
  </si>
  <si>
    <t>TOP LOADER</t>
  </si>
  <si>
    <t>DCG400GS 4/4</t>
  </si>
  <si>
    <t>DCG400GS 5/5</t>
  </si>
  <si>
    <t>DCG400GS 6/5</t>
  </si>
  <si>
    <t>DCG410GS 4/4</t>
  </si>
  <si>
    <t>DCG410GS 5/5</t>
  </si>
  <si>
    <t>DCG410GS 6/5</t>
  </si>
  <si>
    <t>DCG410GS 6/6</t>
  </si>
  <si>
    <t>ESSENTIAL</t>
  </si>
  <si>
    <t>DCG100-6T</t>
  </si>
  <si>
    <t>DCG120-6T</t>
  </si>
  <si>
    <t>DCG127-6T</t>
  </si>
  <si>
    <t>DCG140-6T</t>
  </si>
  <si>
    <t>DCG150-6T</t>
  </si>
  <si>
    <t>DCG100-12T</t>
  </si>
  <si>
    <t>DCG120-12T</t>
  </si>
  <si>
    <t>DCG150-12T</t>
  </si>
  <si>
    <t>DCG160-6T</t>
  </si>
  <si>
    <t>DCG160-9T</t>
  </si>
  <si>
    <t>DCG180-6T</t>
  </si>
  <si>
    <t>FORKLIFT</t>
  </si>
  <si>
    <t>DCU80-100                                                  ESSENTIAL</t>
  </si>
  <si>
    <t>DCU80-ES4/4</t>
  </si>
  <si>
    <t>DCU80-ES5/5</t>
  </si>
  <si>
    <t>DCU80-ES6/5</t>
  </si>
  <si>
    <t>DCU80-ES7/6</t>
  </si>
  <si>
    <t>DCU80-ES8/7</t>
  </si>
  <si>
    <t>DCU90-ES4/4</t>
  </si>
  <si>
    <t>DCU90-ES5/5</t>
  </si>
  <si>
    <t>DCU90-ES6/5</t>
  </si>
  <si>
    <t>DCU90-ES7/6</t>
  </si>
  <si>
    <t>DCU90-ES8/7</t>
  </si>
  <si>
    <t>DCU100-ES4/4</t>
  </si>
  <si>
    <t>DCU100-ES5/5</t>
  </si>
  <si>
    <t>DCU100-ES6/5</t>
  </si>
  <si>
    <t>DCU100-ES7/6</t>
  </si>
  <si>
    <t>DCU100-ES8/7</t>
  </si>
  <si>
    <t>DCG80-110                                        PREMIUM</t>
  </si>
  <si>
    <t>DCG80-45ES4/4</t>
  </si>
  <si>
    <t>DCG80-45ES5/5</t>
  </si>
  <si>
    <t>DCG80-45ES6/5</t>
  </si>
  <si>
    <t>DCG80-45ES7/6</t>
  </si>
  <si>
    <t>DCG80-45ES8/7</t>
  </si>
  <si>
    <t>DCG90-45ES4/4</t>
  </si>
  <si>
    <t>DCG90-45ES5/5</t>
  </si>
  <si>
    <t>DCG90-45ES6/5</t>
  </si>
  <si>
    <t>DCG90-45ES7/6</t>
  </si>
  <si>
    <t>DCG90-45ES8/7</t>
  </si>
  <si>
    <t>DCG100-45ES4/4</t>
  </si>
  <si>
    <t>DCG100-45ES5/5</t>
  </si>
  <si>
    <t>DCG100-45ES6/5</t>
  </si>
  <si>
    <t>DCG100-45ES7/6</t>
  </si>
  <si>
    <t>DCG100-45ES8/7</t>
  </si>
  <si>
    <t>DCG100-45ED4/4</t>
  </si>
  <si>
    <t>DCG100-45ED5/5</t>
  </si>
  <si>
    <t>DCG100-45ED6/5</t>
  </si>
  <si>
    <t>DCG100-45ED7/6</t>
  </si>
  <si>
    <t>DCG100-45ED8/7</t>
  </si>
  <si>
    <t>DCG110-45ES4/4</t>
  </si>
  <si>
    <t>DCG110-45ES5/5</t>
  </si>
  <si>
    <t>DCG110-45ES6/5</t>
  </si>
  <si>
    <t>DCG110-45ES7/6</t>
  </si>
  <si>
    <t>DCG110-45ES8/7</t>
  </si>
  <si>
    <t>DCG110-45ED4/4</t>
  </si>
  <si>
    <t>DCG110-45ED5/5</t>
  </si>
  <si>
    <t>DCG110-45ED6/5</t>
  </si>
  <si>
    <t>DCG110-45ED7/6</t>
  </si>
  <si>
    <t>DCG110-45ED8/7</t>
  </si>
  <si>
    <t>EMPTY CONTAINER HANDLING</t>
  </si>
  <si>
    <t>ECO</t>
  </si>
  <si>
    <t>DRG420-60S5 E</t>
  </si>
  <si>
    <t>DRG450-60S5 E</t>
  </si>
  <si>
    <t>DRG450-60S5 ME</t>
  </si>
  <si>
    <t>DRG450-60S5 XE</t>
  </si>
  <si>
    <t>DRG450-65S5 E</t>
  </si>
  <si>
    <t>DRG450-65S5 XE</t>
  </si>
  <si>
    <t>DRG450-65S6 E</t>
  </si>
  <si>
    <t>DRG450-65S6 XE</t>
  </si>
  <si>
    <t>DRG450-65S6 HE</t>
  </si>
  <si>
    <t>DRG450-65S6 HXE</t>
  </si>
  <si>
    <t>DRG450-65S6 HXSE</t>
  </si>
  <si>
    <t>DRG450-60C5 E</t>
  </si>
  <si>
    <t>DRG450-60C5 XE</t>
  </si>
  <si>
    <t>DRG450-65C5 E</t>
  </si>
  <si>
    <t>DRG450-65C5 XE</t>
  </si>
  <si>
    <t>DRG450-65C5 XSE</t>
  </si>
  <si>
    <t>DRG500-60A5 E</t>
  </si>
  <si>
    <t>DRG540-60A5 XE</t>
  </si>
  <si>
    <t>DRG540-65A5 XE</t>
  </si>
  <si>
    <t>DRG570-65ZE</t>
  </si>
  <si>
    <t>DRG600-65ZXE</t>
  </si>
  <si>
    <t>DRG600-65ZXSE</t>
  </si>
  <si>
    <t>EMPTY &amp; SEMI-LADEN</t>
  </si>
  <si>
    <t>DRG100-54S6</t>
  </si>
  <si>
    <t>DRG100-54S8</t>
  </si>
  <si>
    <t>DRG120-54S6</t>
  </si>
  <si>
    <t>DRG140-54S6</t>
  </si>
  <si>
    <t>REACHSTAKER</t>
  </si>
  <si>
    <t>HEAVY</t>
  </si>
  <si>
    <t>TT618i</t>
  </si>
  <si>
    <t>TR618i</t>
  </si>
  <si>
    <t>TRL618i</t>
  </si>
  <si>
    <t>PREMIUM</t>
  </si>
  <si>
    <t>T2i</t>
  </si>
  <si>
    <t>OTTAWA</t>
  </si>
  <si>
    <t>Ottawa T2</t>
  </si>
  <si>
    <t>TERMINAL TRACTOR</t>
  </si>
  <si>
    <t>KALMAR - All Sales Models</t>
  </si>
  <si>
    <t>MF300</t>
  </si>
  <si>
    <t>MF345 XTRA 2WD</t>
  </si>
  <si>
    <t>50 CV</t>
  </si>
  <si>
    <t>MF350 XTRA 2WD</t>
  </si>
  <si>
    <t>MF355 XTRA 2WD</t>
  </si>
  <si>
    <t>60 CV</t>
  </si>
  <si>
    <t>MF360 XTRA 2WD</t>
  </si>
  <si>
    <t>MF375 XTRA 2WD</t>
  </si>
  <si>
    <t>75 CV</t>
  </si>
  <si>
    <t>MF385 XTRA 2WD</t>
  </si>
  <si>
    <t>85 CV</t>
  </si>
  <si>
    <t>MF400</t>
  </si>
  <si>
    <t>MF415</t>
  </si>
  <si>
    <t>46 CV</t>
  </si>
  <si>
    <t>MF415 ETROIT</t>
  </si>
  <si>
    <t>MF425 XTRA 2WD</t>
  </si>
  <si>
    <t>65 CV</t>
  </si>
  <si>
    <t>MF425 XTRA 4WD</t>
  </si>
  <si>
    <t>MF435 XTRA 2WD</t>
  </si>
  <si>
    <t>72 CV</t>
  </si>
  <si>
    <t>MF435 XTRA 4WD</t>
  </si>
  <si>
    <t>MF 435 XTRA ETROIT</t>
  </si>
  <si>
    <t>MF440 XTRA 2WD</t>
  </si>
  <si>
    <t>82 CV</t>
  </si>
  <si>
    <t>MF440 XTRA 4WD</t>
  </si>
  <si>
    <t>MF440 XTRA ETROIT</t>
  </si>
  <si>
    <t>MF445 XTRA</t>
  </si>
  <si>
    <t>95 CV</t>
  </si>
  <si>
    <t>MF455 XTRA</t>
  </si>
  <si>
    <t>105 CV</t>
  </si>
  <si>
    <t>MF4700</t>
  </si>
  <si>
    <t>MF4708 STD 2WD</t>
  </si>
  <si>
    <t>MF4708 STD 4WD</t>
  </si>
  <si>
    <t>MF4708 ESS 2WD</t>
  </si>
  <si>
    <t>MF4708 ESS 4WD</t>
  </si>
  <si>
    <t>MF5700</t>
  </si>
  <si>
    <t>MF5709 ESS 2WD</t>
  </si>
  <si>
    <t>92 CV</t>
  </si>
  <si>
    <t>MF5709 ESS 4WD</t>
  </si>
  <si>
    <t>MF5710 ESS 2WD</t>
  </si>
  <si>
    <t>102 CV</t>
  </si>
  <si>
    <t>MF5710 ESS 4WD</t>
  </si>
  <si>
    <t>MF6700</t>
  </si>
  <si>
    <t>MF6711 ESS 4WD</t>
  </si>
  <si>
    <t>112 CV</t>
  </si>
  <si>
    <t>MF6712 ESS 4WD</t>
  </si>
  <si>
    <t>122 CV</t>
  </si>
  <si>
    <t>132 CV</t>
  </si>
  <si>
    <t>MF7100</t>
  </si>
  <si>
    <t>MF7140</t>
  </si>
  <si>
    <t>140 CV</t>
  </si>
  <si>
    <t>MF7150</t>
  </si>
  <si>
    <t>150 CV</t>
  </si>
  <si>
    <t>MF7170</t>
  </si>
  <si>
    <t>170 CV</t>
  </si>
  <si>
    <t>MF7180</t>
  </si>
  <si>
    <t>180 CV</t>
  </si>
  <si>
    <t>MF7S</t>
  </si>
  <si>
    <t>MF7614 ESS 4WD</t>
  </si>
  <si>
    <t>155 CV</t>
  </si>
  <si>
    <t>MF7S.180</t>
  </si>
  <si>
    <t>MF7S.195</t>
  </si>
  <si>
    <t>195 CV</t>
  </si>
  <si>
    <t>MF7S.210</t>
  </si>
  <si>
    <t>210 CV</t>
  </si>
  <si>
    <t>MF8S</t>
  </si>
  <si>
    <t>MF8S.215</t>
  </si>
  <si>
    <t>215 CV</t>
  </si>
  <si>
    <t>245 CV</t>
  </si>
  <si>
    <t>MF8S.265</t>
  </si>
  <si>
    <t>264 CV</t>
  </si>
  <si>
    <t>MF8700 S</t>
  </si>
  <si>
    <t>MF8727-S</t>
  </si>
  <si>
    <t>270 CV</t>
  </si>
  <si>
    <t>MF8730-S</t>
  </si>
  <si>
    <t>295 CV</t>
  </si>
  <si>
    <t>MF8732-S</t>
  </si>
  <si>
    <t>320 CV</t>
  </si>
  <si>
    <t>MF8735-S</t>
  </si>
  <si>
    <t>350 CV</t>
  </si>
  <si>
    <t>MF8737-S</t>
  </si>
  <si>
    <t>370 CV</t>
  </si>
  <si>
    <t>TRACTEURS AGRICOLES</t>
  </si>
  <si>
    <t>PLANTER</t>
  </si>
  <si>
    <t>MF100</t>
  </si>
  <si>
    <t>MF104 ECO-2</t>
  </si>
  <si>
    <t>MF104 ECO-4</t>
  </si>
  <si>
    <t>MF104 HI-2</t>
  </si>
  <si>
    <t>MF104 HI-4</t>
  </si>
  <si>
    <t>MF320 STD</t>
  </si>
  <si>
    <t>MF322 STD</t>
  </si>
  <si>
    <t>MF326 STD</t>
  </si>
  <si>
    <t>MF500</t>
  </si>
  <si>
    <t>MF508 STD-4,90</t>
  </si>
  <si>
    <t>MF508 STD-8,45</t>
  </si>
  <si>
    <t>MF510 STD-6,75</t>
  </si>
  <si>
    <t>MF511 STD-6,90</t>
  </si>
  <si>
    <t>MF511 STD-11,45</t>
  </si>
  <si>
    <t>MF512 STD-12,45</t>
  </si>
  <si>
    <t>MF513 STD-8,75</t>
  </si>
  <si>
    <t>MF515 STD-8,90</t>
  </si>
  <si>
    <t>MF515 STD-15,45</t>
  </si>
  <si>
    <t>FERTILIZER</t>
  </si>
  <si>
    <t>MF2013</t>
  </si>
  <si>
    <t>MOISSONNEUSES BATTEUSES</t>
  </si>
  <si>
    <r>
      <t xml:space="preserve">MF2168 </t>
    </r>
    <r>
      <rPr>
        <b/>
        <sz val="10"/>
        <color rgb="FFFF0000"/>
        <rFont val="Tahoma"/>
        <family val="2"/>
      </rPr>
      <t>RIZ</t>
    </r>
  </si>
  <si>
    <t>88 CV</t>
  </si>
  <si>
    <r>
      <t xml:space="preserve">MF2168 </t>
    </r>
    <r>
      <rPr>
        <b/>
        <sz val="10"/>
        <color rgb="FFFF0000"/>
        <rFont val="Tahoma"/>
        <family val="2"/>
      </rPr>
      <t>RIZ</t>
    </r>
    <r>
      <rPr>
        <b/>
        <sz val="10"/>
        <color rgb="FF000000"/>
        <rFont val="Tahoma"/>
        <family val="2"/>
      </rPr>
      <t xml:space="preserve"> 1000L-1,5m</t>
    </r>
  </si>
  <si>
    <r>
      <t xml:space="preserve">MF2168 </t>
    </r>
    <r>
      <rPr>
        <b/>
        <sz val="10"/>
        <color rgb="FFFF0000"/>
        <rFont val="Tahoma"/>
        <family val="2"/>
      </rPr>
      <t>RIZ</t>
    </r>
    <r>
      <rPr>
        <b/>
        <sz val="10"/>
        <color rgb="FF000000"/>
        <rFont val="Tahoma"/>
        <family val="2"/>
      </rPr>
      <t xml:space="preserve"> 1000L-4m</t>
    </r>
  </si>
  <si>
    <r>
      <t xml:space="preserve">MF7240 </t>
    </r>
    <r>
      <rPr>
        <b/>
        <sz val="10"/>
        <color rgb="FFFF0000"/>
        <rFont val="Tahoma"/>
        <family val="2"/>
      </rPr>
      <t>MULTICULTURE</t>
    </r>
  </si>
  <si>
    <t>175 CV</t>
  </si>
  <si>
    <r>
      <t xml:space="preserve">MF7340 </t>
    </r>
    <r>
      <rPr>
        <b/>
        <sz val="10"/>
        <color rgb="FFFF0000"/>
        <rFont val="Tahoma"/>
        <family val="2"/>
      </rPr>
      <t>MULTICULTURE</t>
    </r>
  </si>
  <si>
    <t>176 CV</t>
  </si>
  <si>
    <r>
      <t xml:space="preserve">MFT5 </t>
    </r>
    <r>
      <rPr>
        <b/>
        <sz val="10"/>
        <color rgb="FFFF0000"/>
        <rFont val="Tahoma"/>
        <family val="2"/>
      </rPr>
      <t>CEREAL</t>
    </r>
  </si>
  <si>
    <t>220 CV</t>
  </si>
  <si>
    <r>
      <t xml:space="preserve">VERRATO V5 </t>
    </r>
    <r>
      <rPr>
        <b/>
        <sz val="10"/>
        <color rgb="FFFF0000"/>
        <rFont val="Tahoma"/>
        <family val="2"/>
      </rPr>
      <t>MAÏS</t>
    </r>
  </si>
  <si>
    <t>PULVERISATEUR</t>
  </si>
  <si>
    <t>MF SELF-PROPELLED 9330</t>
  </si>
  <si>
    <t>MASSEY FERGUSON - All Sales Models</t>
  </si>
  <si>
    <t>ME315C</t>
  </si>
  <si>
    <t>ABANDONNE</t>
  </si>
  <si>
    <t>ME315</t>
  </si>
  <si>
    <t>CENTRAFRIQUE</t>
  </si>
  <si>
    <t>ME316</t>
  </si>
  <si>
    <t>GUINEE EQUATORIALE</t>
  </si>
  <si>
    <t>ME318</t>
  </si>
  <si>
    <t>TCHAD</t>
  </si>
  <si>
    <t>GAGNE</t>
  </si>
  <si>
    <t>ME320</t>
  </si>
  <si>
    <t>G. WAFO</t>
  </si>
  <si>
    <t>PERDU</t>
  </si>
  <si>
    <t>ME418</t>
  </si>
  <si>
    <t>ME420</t>
  </si>
  <si>
    <t>MI/ME</t>
  </si>
  <si>
    <t>ME425C</t>
  </si>
  <si>
    <t>EP/ES/ER/EMA</t>
  </si>
  <si>
    <t>ME435</t>
  </si>
  <si>
    <t>MWEP</t>
  </si>
  <si>
    <t>ME440</t>
  </si>
  <si>
    <t>ME445</t>
  </si>
  <si>
    <t>ME450</t>
  </si>
  <si>
    <t>MI-X15D</t>
  </si>
  <si>
    <t>MI-X15G</t>
  </si>
  <si>
    <t>MI-X18D</t>
  </si>
  <si>
    <t>TRANSPALETTE MANUEL</t>
  </si>
  <si>
    <t>MI-X18G</t>
  </si>
  <si>
    <t>MI-X20D</t>
  </si>
  <si>
    <t>MI-X20G</t>
  </si>
  <si>
    <t>MI-X25D</t>
  </si>
  <si>
    <t>MI-X25G</t>
  </si>
  <si>
    <t>MI-X30D</t>
  </si>
  <si>
    <t>MI-X30G</t>
  </si>
  <si>
    <t>MI-X35D</t>
  </si>
  <si>
    <t>MI-X35G</t>
  </si>
  <si>
    <t>MI-X40D</t>
  </si>
  <si>
    <t>MI-X40G</t>
  </si>
  <si>
    <t>MI-X45D</t>
  </si>
  <si>
    <t>MI-X45G</t>
  </si>
  <si>
    <t>MI-X50G</t>
  </si>
  <si>
    <t>MI-X50LD</t>
  </si>
  <si>
    <t>MI-X50LG</t>
  </si>
  <si>
    <t>MI-X60D</t>
  </si>
  <si>
    <t>MI-X60G</t>
  </si>
  <si>
    <t>MI-X70D</t>
  </si>
  <si>
    <t>MI-X70G</t>
  </si>
  <si>
    <t>MI-X80D</t>
  </si>
  <si>
    <t>MSI25T</t>
  </si>
  <si>
    <t>MSI30T</t>
  </si>
  <si>
    <t>MSI35T</t>
  </si>
  <si>
    <t>MSI40T</t>
  </si>
  <si>
    <t>MSI50T</t>
  </si>
  <si>
    <t>M-X30-2</t>
  </si>
  <si>
    <t>M-X30-4</t>
  </si>
  <si>
    <t>M-X50-4</t>
  </si>
  <si>
    <t>M-X70</t>
  </si>
  <si>
    <t>MC18-2</t>
  </si>
  <si>
    <t>MC18-4</t>
  </si>
  <si>
    <t>MC25-2</t>
  </si>
  <si>
    <t>MC25-4</t>
  </si>
  <si>
    <t>MC30-2</t>
  </si>
  <si>
    <t>MC30-4</t>
  </si>
  <si>
    <t>TMM20</t>
  </si>
  <si>
    <t>TMM20-4W</t>
  </si>
  <si>
    <t>TMM25</t>
  </si>
  <si>
    <t>TMM25-4W</t>
  </si>
  <si>
    <t>TMT25I</t>
  </si>
  <si>
    <t>TMT25S</t>
  </si>
  <si>
    <t>TMT25P</t>
  </si>
  <si>
    <t>TMT27S</t>
  </si>
  <si>
    <t>TMT27P</t>
  </si>
  <si>
    <t>EMA II13</t>
  </si>
  <si>
    <t>EMA II17</t>
  </si>
  <si>
    <t>EMA II18 HL-1</t>
  </si>
  <si>
    <t>EMA II18 HL-2</t>
  </si>
  <si>
    <t>EMA II20</t>
  </si>
  <si>
    <t>EMA II20 HD-1</t>
  </si>
  <si>
    <t>EMA II20 HD-2</t>
  </si>
  <si>
    <t>ER12</t>
  </si>
  <si>
    <t>ER14</t>
  </si>
  <si>
    <t>ER16</t>
  </si>
  <si>
    <t>ER16 HD</t>
  </si>
  <si>
    <t>ER20</t>
  </si>
  <si>
    <t>ER20 HD</t>
  </si>
  <si>
    <t>STACKY10</t>
  </si>
  <si>
    <t>STACKY14</t>
  </si>
  <si>
    <t>KLEOSDMH</t>
  </si>
  <si>
    <t>KLEOSHM</t>
  </si>
  <si>
    <t>KLEOSEB</t>
  </si>
  <si>
    <t>CI10LC</t>
  </si>
  <si>
    <t>CI12PF</t>
  </si>
  <si>
    <t>CI20</t>
  </si>
  <si>
    <t>CT30</t>
  </si>
  <si>
    <t>CT40</t>
  </si>
  <si>
    <t>CT50</t>
  </si>
  <si>
    <t>EP15 EASY</t>
  </si>
  <si>
    <t>EP15 LITHIUM EASY</t>
  </si>
  <si>
    <t>EP18</t>
  </si>
  <si>
    <t>EP20P EASY</t>
  </si>
  <si>
    <t>EP22</t>
  </si>
  <si>
    <t>EP22P FR 6</t>
  </si>
  <si>
    <t>EP22P FR 9</t>
  </si>
  <si>
    <t>EP730</t>
  </si>
  <si>
    <t>EP740</t>
  </si>
  <si>
    <t>EP750</t>
  </si>
  <si>
    <t>ES410</t>
  </si>
  <si>
    <t>ES410 ET</t>
  </si>
  <si>
    <t>ES410 LE</t>
  </si>
  <si>
    <t>ES412</t>
  </si>
  <si>
    <t>ES412 ET</t>
  </si>
  <si>
    <t>ES412 LE</t>
  </si>
  <si>
    <t>ES414</t>
  </si>
  <si>
    <t>ES420 DL</t>
  </si>
  <si>
    <t>ES420 DL PFR 6</t>
  </si>
  <si>
    <t>ES420 DL PFR 9</t>
  </si>
  <si>
    <t>ES612 LI</t>
  </si>
  <si>
    <t>ES612 LI (5Pts)</t>
  </si>
  <si>
    <t>ES614 (5Pts)</t>
  </si>
  <si>
    <t>ES614 LI</t>
  </si>
  <si>
    <t>ES614 LI (5Pts)</t>
  </si>
  <si>
    <t>ES616</t>
  </si>
  <si>
    <t>ES616 (5Pts)</t>
  </si>
  <si>
    <t>ES616 LI</t>
  </si>
  <si>
    <t>ES616 LI (5Pts)</t>
  </si>
  <si>
    <t>ES720 FR</t>
  </si>
  <si>
    <t>ES725</t>
  </si>
  <si>
    <t>ES820</t>
  </si>
  <si>
    <t>ES820 LI</t>
  </si>
  <si>
    <t>ES504GPF</t>
  </si>
  <si>
    <t>ES507GPF</t>
  </si>
  <si>
    <t>ES510GPF</t>
  </si>
  <si>
    <t>ES-C711</t>
  </si>
  <si>
    <t>ES-C713</t>
  </si>
  <si>
    <t>ES-C716</t>
  </si>
  <si>
    <t>ES-C720</t>
  </si>
  <si>
    <t>MLT-X625</t>
  </si>
  <si>
    <t>MLT-X627</t>
  </si>
  <si>
    <t>MLT-X732</t>
  </si>
  <si>
    <t>MLT-X735</t>
  </si>
  <si>
    <t>MLT-X840</t>
  </si>
  <si>
    <t>MLT-X845</t>
  </si>
  <si>
    <t>MLT-X960</t>
  </si>
  <si>
    <t>MLT-X1035</t>
  </si>
  <si>
    <t>MT-X420 H</t>
  </si>
  <si>
    <t>MT-X625 H</t>
  </si>
  <si>
    <t>MT-X733</t>
  </si>
  <si>
    <t>MT-X733 MINING</t>
  </si>
  <si>
    <t>MT-X1033</t>
  </si>
  <si>
    <t>MT-X1033 MINING</t>
  </si>
  <si>
    <t>MT-X1440</t>
  </si>
  <si>
    <t>MT-X1440 A</t>
  </si>
  <si>
    <t>MT-X1840</t>
  </si>
  <si>
    <t>MT-X1840 A</t>
  </si>
  <si>
    <t>MXT840 K</t>
  </si>
  <si>
    <t>MXT840 P</t>
  </si>
  <si>
    <t>MXT1470 K</t>
  </si>
  <si>
    <t>MHT-X790</t>
  </si>
  <si>
    <t>MHT-X790 MINING</t>
  </si>
  <si>
    <t>MHT-X10130</t>
  </si>
  <si>
    <t>MHT-X10130 MINING</t>
  </si>
  <si>
    <t>MHT-X10180</t>
  </si>
  <si>
    <t>MHT-X10180 MINING</t>
  </si>
  <si>
    <t>MHT-X10230</t>
  </si>
  <si>
    <t>MHT-X10230 MINING</t>
  </si>
  <si>
    <t>MHT-X12330</t>
  </si>
  <si>
    <t>MRT-X1645</t>
  </si>
  <si>
    <t>MRT-X1845</t>
  </si>
  <si>
    <t>MRT-X2145</t>
  </si>
  <si>
    <t>MRT-X2545</t>
  </si>
  <si>
    <t>MRT-X2260</t>
  </si>
  <si>
    <t>MRT-X2570</t>
  </si>
  <si>
    <t>MRT-X2660</t>
  </si>
  <si>
    <t>MRT-X3060</t>
  </si>
  <si>
    <t>MRT-X3570</t>
  </si>
  <si>
    <t>MRT-X3570 ES</t>
  </si>
  <si>
    <t>TJ220TJ</t>
  </si>
  <si>
    <t>TJ220TJ+</t>
  </si>
  <si>
    <t>TJ260TJ+</t>
  </si>
  <si>
    <t>TJ280TJ</t>
  </si>
  <si>
    <t>SEC78SEC</t>
  </si>
  <si>
    <t>SEC100SEC</t>
  </si>
  <si>
    <t>SEC120SE</t>
  </si>
  <si>
    <t>SC100SC</t>
  </si>
  <si>
    <t>SC120SC</t>
  </si>
  <si>
    <t>SC140SC</t>
  </si>
  <si>
    <t>VJR80VJR</t>
  </si>
  <si>
    <t>VJR100VJR</t>
  </si>
  <si>
    <t>VJR90V'AIR</t>
  </si>
  <si>
    <t>ATJ120AETJ-C</t>
  </si>
  <si>
    <t>ATJ150AETJ-C</t>
  </si>
  <si>
    <t>ATJ170AETJ-L</t>
  </si>
  <si>
    <t>ATJ150AETJ-L BI-ENERGY</t>
  </si>
  <si>
    <t>ATJ170AETJ-L BI-ENERGY</t>
  </si>
  <si>
    <t>ATJ160ATJ</t>
  </si>
  <si>
    <t>ATJ160ATJ+</t>
  </si>
  <si>
    <t>ATJ180ATJ</t>
  </si>
  <si>
    <t>ATJ200ATJ</t>
  </si>
  <si>
    <t>ATJ200ATJ E</t>
  </si>
  <si>
    <t>MAN'GOMAN'GO12</t>
  </si>
  <si>
    <t>MLB-X900 90KL ST3</t>
  </si>
  <si>
    <t>MLB-X920 92P ST2</t>
  </si>
  <si>
    <t>MLB-X920 94P ST3</t>
  </si>
  <si>
    <t>MLA-T516-75H</t>
  </si>
  <si>
    <t>MF7614 EFF 4WD</t>
  </si>
  <si>
    <t>MF7615 ESS 4WD</t>
  </si>
  <si>
    <t>MF7615 EFF 4WD</t>
  </si>
  <si>
    <t>MF7618 ESS 4WD</t>
  </si>
  <si>
    <t>MF7618 EFF 4WD</t>
  </si>
  <si>
    <t>MF7720-S ESS 4WD</t>
  </si>
  <si>
    <t>MF7720-S EFF 4WD</t>
  </si>
  <si>
    <t>MF7722-S ESS 4WD</t>
  </si>
  <si>
    <t>MF7722-S EFF 4WD</t>
  </si>
  <si>
    <t>MF7724-S ESS 4WD</t>
  </si>
  <si>
    <t>MF7724-S EFF 4WD</t>
  </si>
  <si>
    <t>MF7726-S ESS 4WD</t>
  </si>
  <si>
    <t>MF7726-S EFF 4WD</t>
  </si>
  <si>
    <t>MF2168 RIZ</t>
  </si>
  <si>
    <t>MF2168 RIZ 1000L-1,5m</t>
  </si>
  <si>
    <t>MF2168 RIZ 1000L-4m</t>
  </si>
  <si>
    <t>MF7240 MULTICULTURE</t>
  </si>
  <si>
    <t>MF7340 MULTICULTURE</t>
  </si>
  <si>
    <t>MFT5 CEREAL</t>
  </si>
  <si>
    <t>MFT5 MAÏS</t>
  </si>
  <si>
    <t>COMIA C14</t>
  </si>
  <si>
    <t>MAIZSTORM</t>
  </si>
  <si>
    <t>SOYA ADAPTATOR</t>
  </si>
  <si>
    <t>Elevé</t>
  </si>
  <si>
    <t>TERMINE</t>
  </si>
  <si>
    <t>RETARD</t>
  </si>
  <si>
    <t>STATUT</t>
  </si>
  <si>
    <t>DATE DE FIN PREVUE</t>
  </si>
  <si>
    <t>RESPONSABLE</t>
  </si>
  <si>
    <t>NIVEAU DE PRIORITE</t>
  </si>
  <si>
    <t>ACTIONS</t>
  </si>
  <si>
    <t>Moyenne</t>
  </si>
  <si>
    <t>Faible</t>
  </si>
  <si>
    <t>Optionnelle</t>
  </si>
  <si>
    <t>A. MAGWETH</t>
  </si>
  <si>
    <t>P. DEBANTEL</t>
  </si>
  <si>
    <t>P. PIERRES</t>
  </si>
  <si>
    <t>F. ALBERT-THENET</t>
  </si>
  <si>
    <t>S. DOUMBOUYA</t>
  </si>
  <si>
    <t>UPCC</t>
  </si>
  <si>
    <t>50NSO</t>
  </si>
  <si>
    <t>100NST</t>
  </si>
  <si>
    <t>50Cv</t>
  </si>
  <si>
    <t>MLT-X1041</t>
  </si>
  <si>
    <t>30D DLL33</t>
  </si>
  <si>
    <t>FLEXA -F- 500</t>
  </si>
  <si>
    <t>P. LAVICTOIRE</t>
  </si>
  <si>
    <t>40D DVT33</t>
  </si>
  <si>
    <t>S. NDJOUBY</t>
  </si>
  <si>
    <t>F. MAKON</t>
  </si>
  <si>
    <t>C. ZAMBO</t>
  </si>
  <si>
    <t>Total Territoire</t>
  </si>
  <si>
    <t>Quantités facturées</t>
  </si>
  <si>
    <t>Agricole</t>
  </si>
  <si>
    <t>Chiffre d'affaires</t>
  </si>
  <si>
    <t>Lift trucks</t>
  </si>
  <si>
    <t>Tchad</t>
  </si>
  <si>
    <t>Rwanda</t>
  </si>
  <si>
    <t>RDC</t>
  </si>
  <si>
    <t>Offshore (EXPORT)</t>
  </si>
  <si>
    <t>Marge Brute</t>
  </si>
  <si>
    <t>Gabon</t>
  </si>
  <si>
    <t>Congo</t>
  </si>
  <si>
    <t>Cameroun</t>
  </si>
  <si>
    <t>Maroc</t>
  </si>
  <si>
    <t>Plan N+2</t>
  </si>
  <si>
    <t>Plan N+1</t>
  </si>
  <si>
    <t>Budget</t>
  </si>
  <si>
    <t>CONSTRUCTEUR</t>
  </si>
  <si>
    <t>TERRITOIRE</t>
  </si>
  <si>
    <t>PLAN_COMPTE</t>
  </si>
  <si>
    <t>PRODUIT</t>
  </si>
  <si>
    <t>Cumul fin Décembre</t>
  </si>
  <si>
    <t>2027</t>
  </si>
  <si>
    <t>2026</t>
  </si>
  <si>
    <t>K EURO</t>
  </si>
  <si>
    <t>VENDEUR 1</t>
  </si>
  <si>
    <t>VENDEUR 2</t>
  </si>
  <si>
    <t>VENDEUR 3</t>
  </si>
  <si>
    <t>VENDEUR 4</t>
  </si>
  <si>
    <t>VENDEUR 5</t>
  </si>
  <si>
    <t>DATE D'ENTREE EN STOCK</t>
  </si>
  <si>
    <t>PRIX DE REVIENT HT</t>
  </si>
  <si>
    <t>IM4 TTC (Dédouané)</t>
  </si>
  <si>
    <t>IM7 HT (Sous Douane)</t>
  </si>
  <si>
    <t>MCR (Machine en Cours de Route)</t>
  </si>
  <si>
    <t>DIVERS Agri</t>
  </si>
  <si>
    <t>DIVERS Lift Trucks</t>
  </si>
  <si>
    <t>GABON</t>
  </si>
  <si>
    <t>CONGO</t>
  </si>
  <si>
    <t>RDC NORD</t>
  </si>
  <si>
    <t>RDC SUD</t>
  </si>
  <si>
    <t>RWANDA</t>
  </si>
  <si>
    <t>BURUNDI</t>
  </si>
  <si>
    <t>MAROC TH</t>
  </si>
  <si>
    <t>MAROC MINING</t>
  </si>
  <si>
    <t>MAROC IND.</t>
  </si>
  <si>
    <t>CÔTE D'IVOIRE</t>
  </si>
  <si>
    <t>MALI</t>
  </si>
  <si>
    <t>BURKINA FASO</t>
  </si>
  <si>
    <t>NIGER</t>
  </si>
  <si>
    <t>LYBIE</t>
  </si>
  <si>
    <t>MAURITANIE</t>
  </si>
  <si>
    <t>CONSTRAINED FORECAST 2026</t>
  </si>
  <si>
    <t>Sous total 2026</t>
  </si>
  <si>
    <t>FONCTION CLIENT</t>
  </si>
  <si>
    <t>N° TELEPHONE CLIENT</t>
  </si>
  <si>
    <t>N° WHATSAPP CLIENT</t>
  </si>
  <si>
    <t>MAIL CLIENT</t>
  </si>
  <si>
    <t>URL SOCIETE</t>
  </si>
  <si>
    <t>NOM / PRENOM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</si>
</sst>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-* #,##0.00_-;\-* #,##0.00_-;_-* &quot;-&quot;??_-;_-@_-"/>
    <numFmt numFmtId="165" formatCode="_-* #,##0.00\ _€_-;\-* #,##0.00\ _€_-;_-* &quot;-&quot;??\ _€_-;_-@_-"/>
    <numFmt numFmtId="166" formatCode="_-* #,##0\ _F_C_F_A_-;\-* #,##0\ _F_C_F_A_-;_-* &quot;-&quot;\ _F_C_F_A_-;_-@_-"/>
    <numFmt numFmtId="167" formatCode="_-* #,##0_-;\-* #,##0_-;_-* &quot;-&quot;??_-;_-@_-"/>
    <numFmt numFmtId="168" formatCode="0.0%"/>
    <numFmt numFmtId="169" formatCode="[$-40C]mmmm\-yy;@"/>
    <numFmt numFmtId="170" formatCode="#,##0\ _€"/>
    <numFmt numFmtId="171" formatCode="dd/mm/yy;@"/>
    <numFmt numFmtId="172" formatCode="[$-40C]mmm\-yy;@"/>
    <numFmt numFmtId="173" formatCode="#,##0.0"/>
    <numFmt numFmtId="174" formatCode="_-* #,##0\ [$XAF]_-;\-* #,##0\ [$XAF]_-;_-* &quot;-&quot;\ [$XAF]_-;_-@_-"/>
    <numFmt numFmtId="175" formatCode="#,##0_ ;\-#,##0\ "/>
    <numFmt numFmtId="176" formatCode="0.000%"/>
    <numFmt numFmtId="177" formatCode="#,##0;\(#,##0\)"/>
  </numFmts>
  <fonts count="5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b/>
      <sz val="9"/>
      <color theme="0"/>
      <name val="Calibri"/>
      <family val="2"/>
      <scheme val="minor"/>
    </font>
    <font>
      <sz val="10"/>
      <name val="Calibri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Tahoma"/>
      <family val="2"/>
    </font>
    <font>
      <b/>
      <sz val="8"/>
      <color rgb="FF000000"/>
      <name val="Tahoma"/>
      <family val="2"/>
    </font>
    <font>
      <b/>
      <sz val="10"/>
      <color theme="1"/>
      <name val="Tahoma"/>
      <family val="2"/>
    </font>
    <font>
      <b/>
      <sz val="10"/>
      <color rgb="FF000000"/>
      <name val="Tahoma"/>
      <family val="2"/>
    </font>
    <font>
      <b/>
      <sz val="10"/>
      <color rgb="FFFF0000"/>
      <name val="Tahoma"/>
      <family val="2"/>
    </font>
    <font>
      <b/>
      <sz val="10"/>
      <name val="Tahoma"/>
      <family val="2"/>
    </font>
    <font>
      <b/>
      <i/>
      <sz val="8"/>
      <color rgb="FF000000"/>
      <name val="Tahoma"/>
      <family val="2"/>
    </font>
    <font>
      <b/>
      <sz val="14"/>
      <color rgb="FF000084"/>
      <name val="Tahoma"/>
      <family val="2"/>
    </font>
    <font>
      <b/>
      <sz val="12"/>
      <color rgb="FF000084"/>
      <name val="Tahoma"/>
      <family val="2"/>
    </font>
    <font>
      <b/>
      <sz val="9"/>
      <color indexed="81"/>
      <name val="Tahoma"/>
      <family val="2"/>
    </font>
    <font>
      <b/>
      <sz val="8"/>
      <color theme="0"/>
      <name val="Calibri"/>
      <family val="2"/>
      <scheme val="minor"/>
    </font>
    <font>
      <sz val="10"/>
      <name val="Calibri Light"/>
      <family val="2"/>
      <scheme val="major"/>
    </font>
    <font>
      <i/>
      <sz val="8"/>
      <color theme="1"/>
      <name val="Arial"/>
      <family val="2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84"/>
      <name val="Tahoma"/>
      <family val="2"/>
    </font>
    <font>
      <sz val="8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name val="Calibri"/>
      <family val="2"/>
      <scheme val="minor"/>
    </font>
    <font>
      <b/>
      <sz val="1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Calibri"/>
      <scheme val="minor"/>
    </font>
    <font>
      <sz val="8"/>
      <color rgb="FF000000"/>
      <name val="Calibri"/>
      <scheme val="minor"/>
    </font>
    <font>
      <b/>
      <sz val="11"/>
      <color indexed="8"/>
      <name val="Calibri"/>
      <family val="2"/>
      <scheme val="minor"/>
    </font>
    <font>
      <sz val="8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8"/>
      <name val="Tahoma"/>
      <family val="2"/>
    </font>
    <font>
      <b/>
      <sz val="1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D1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Trellis">
        <bgColor theme="8" tint="0.79998168889431442"/>
      </patternFill>
    </fill>
    <fill>
      <patternFill patternType="solid">
        <fgColor theme="3" tint="0.79998168889431442"/>
        <bgColor indexed="64"/>
      </patternFill>
    </fill>
    <fill>
      <patternFill patternType="lightTrellis">
        <bgColor theme="3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A2C4E0"/>
      </left>
      <right style="thin">
        <color rgb="FFA2C4E0"/>
      </right>
      <top style="thin">
        <color rgb="FFA2C4E0"/>
      </top>
      <bottom/>
      <diagonal/>
    </border>
    <border>
      <left style="thin">
        <color rgb="FFA2C4E0"/>
      </left>
      <right/>
      <top style="medium">
        <color indexed="64"/>
      </top>
      <bottom style="thin">
        <color rgb="FFA2C4E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A2C4E0"/>
      </bottom>
      <diagonal/>
    </border>
    <border>
      <left style="thin">
        <color rgb="FFA2C4E0"/>
      </left>
      <right style="medium">
        <color indexed="64"/>
      </right>
      <top style="medium">
        <color indexed="64"/>
      </top>
      <bottom style="thin">
        <color rgb="FFA2C4E0"/>
      </bottom>
      <diagonal/>
    </border>
    <border>
      <left style="medium">
        <color indexed="64"/>
      </left>
      <right style="thin">
        <color rgb="FFA2C4E0"/>
      </right>
      <top style="thin">
        <color rgb="FFA2C4E0"/>
      </top>
      <bottom/>
      <diagonal/>
    </border>
    <border>
      <left style="thin">
        <color rgb="FFA2C4E0"/>
      </left>
      <right style="medium">
        <color indexed="64"/>
      </right>
      <top style="thin">
        <color rgb="FFA2C4E0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2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7" fillId="0" borderId="0"/>
    <xf numFmtId="9" fontId="28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6" fillId="0" borderId="0"/>
    <xf numFmtId="0" fontId="6" fillId="0" borderId="0"/>
    <xf numFmtId="166" fontId="2" fillId="0" borderId="0" applyFont="0" applyFill="0" applyBorder="0" applyAlignment="0" applyProtection="0"/>
  </cellStyleXfs>
  <cellXfs count="810">
    <xf numFmtId="0" fontId="0" fillId="0" borderId="0" xfId="0"/>
    <xf numFmtId="0" fontId="1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49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" fontId="1" fillId="0" borderId="4" xfId="0" applyNumberFormat="1" applyFont="1" applyBorder="1" applyAlignment="1">
      <alignment horizontal="center" vertical="center"/>
    </xf>
    <xf numFmtId="17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 applyProtection="1">
      <alignment vertical="center"/>
      <protection locked="0"/>
    </xf>
    <xf numFmtId="0" fontId="10" fillId="0" borderId="0" xfId="0" applyFont="1" applyAlignment="1">
      <alignment vertical="center"/>
    </xf>
    <xf numFmtId="0" fontId="11" fillId="0" borderId="5" xfId="0" applyFont="1" applyBorder="1" applyAlignment="1">
      <alignment horizontal="center" vertical="center"/>
    </xf>
    <xf numFmtId="17" fontId="12" fillId="0" borderId="5" xfId="0" applyNumberFormat="1" applyFont="1" applyBorder="1" applyAlignment="1">
      <alignment horizontal="left" vertical="center"/>
    </xf>
    <xf numFmtId="0" fontId="0" fillId="0" borderId="0" xfId="0" applyAlignment="1">
      <alignment vertical="center"/>
    </xf>
    <xf numFmtId="0" fontId="13" fillId="9" borderId="18" xfId="0" applyFont="1" applyFill="1" applyBorder="1" applyAlignment="1" applyProtection="1">
      <alignment vertical="center"/>
      <protection locked="0"/>
    </xf>
    <xf numFmtId="49" fontId="9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3" fontId="14" fillId="6" borderId="19" xfId="0" applyNumberFormat="1" applyFont="1" applyFill="1" applyBorder="1" applyAlignment="1">
      <alignment horizontal="center" vertical="center" wrapText="1"/>
    </xf>
    <xf numFmtId="3" fontId="14" fillId="10" borderId="19" xfId="0" applyNumberFormat="1" applyFont="1" applyFill="1" applyBorder="1" applyAlignment="1">
      <alignment horizontal="center" vertical="center" wrapText="1"/>
    </xf>
    <xf numFmtId="3" fontId="16" fillId="0" borderId="25" xfId="0" applyNumberFormat="1" applyFont="1" applyBorder="1" applyAlignment="1" applyProtection="1">
      <alignment horizontal="center" vertical="center" wrapText="1"/>
      <protection locked="0"/>
    </xf>
    <xf numFmtId="3" fontId="14" fillId="11" borderId="19" xfId="0" applyNumberFormat="1" applyFont="1" applyFill="1" applyBorder="1" applyAlignment="1">
      <alignment horizontal="center" vertical="center" wrapText="1"/>
    </xf>
    <xf numFmtId="0" fontId="17" fillId="0" borderId="25" xfId="0" applyFont="1" applyBorder="1" applyAlignment="1">
      <alignment horizontal="right" vertical="center" wrapText="1" indent="2"/>
    </xf>
    <xf numFmtId="0" fontId="17" fillId="0" borderId="27" xfId="0" applyFont="1" applyBorder="1" applyAlignment="1">
      <alignment horizontal="left" vertical="center" wrapText="1"/>
    </xf>
    <xf numFmtId="0" fontId="17" fillId="0" borderId="19" xfId="0" applyFont="1" applyBorder="1" applyAlignment="1">
      <alignment horizontal="center" vertical="center" wrapText="1"/>
    </xf>
    <xf numFmtId="3" fontId="16" fillId="0" borderId="30" xfId="0" applyNumberFormat="1" applyFont="1" applyBorder="1" applyAlignment="1" applyProtection="1">
      <alignment horizontal="center" vertical="center" wrapText="1"/>
      <protection locked="0"/>
    </xf>
    <xf numFmtId="3" fontId="14" fillId="11" borderId="28" xfId="0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right" vertical="center" wrapText="1" indent="2"/>
    </xf>
    <xf numFmtId="0" fontId="17" fillId="0" borderId="2" xfId="0" applyFont="1" applyBorder="1" applyAlignment="1">
      <alignment horizontal="left" vertical="center" wrapText="1"/>
    </xf>
    <xf numFmtId="3" fontId="16" fillId="0" borderId="6" xfId="0" applyNumberFormat="1" applyFont="1" applyBorder="1" applyAlignment="1" applyProtection="1">
      <alignment horizontal="center" vertical="center" wrapText="1"/>
      <protection locked="0"/>
    </xf>
    <xf numFmtId="3" fontId="14" fillId="11" borderId="31" xfId="0" applyNumberFormat="1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right" vertical="center" wrapText="1" indent="2"/>
    </xf>
    <xf numFmtId="0" fontId="17" fillId="0" borderId="7" xfId="0" applyFont="1" applyBorder="1" applyAlignment="1">
      <alignment horizontal="left" vertical="center" wrapText="1"/>
    </xf>
    <xf numFmtId="3" fontId="16" fillId="0" borderId="4" xfId="0" applyNumberFormat="1" applyFont="1" applyBorder="1" applyAlignment="1" applyProtection="1">
      <alignment horizontal="center" vertical="center" wrapText="1"/>
      <protection locked="0"/>
    </xf>
    <xf numFmtId="3" fontId="14" fillId="11" borderId="33" xfId="0" applyNumberFormat="1" applyFont="1" applyFill="1" applyBorder="1" applyAlignment="1">
      <alignment horizontal="center" vertical="center" wrapText="1"/>
    </xf>
    <xf numFmtId="3" fontId="14" fillId="12" borderId="36" xfId="0" applyNumberFormat="1" applyFont="1" applyFill="1" applyBorder="1" applyAlignment="1">
      <alignment horizontal="center" vertical="center" wrapText="1"/>
    </xf>
    <xf numFmtId="3" fontId="16" fillId="12" borderId="17" xfId="0" applyNumberFormat="1" applyFont="1" applyFill="1" applyBorder="1" applyAlignment="1" applyProtection="1">
      <alignment horizontal="center" vertical="center" wrapText="1"/>
      <protection locked="0"/>
    </xf>
    <xf numFmtId="3" fontId="14" fillId="12" borderId="31" xfId="0" applyNumberFormat="1" applyFont="1" applyFill="1" applyBorder="1" applyAlignment="1">
      <alignment horizontal="center" vertical="center" wrapText="1"/>
    </xf>
    <xf numFmtId="0" fontId="17" fillId="12" borderId="6" xfId="0" applyFont="1" applyFill="1" applyBorder="1" applyAlignment="1">
      <alignment horizontal="right" vertical="center" wrapText="1" indent="2"/>
    </xf>
    <xf numFmtId="0" fontId="17" fillId="12" borderId="7" xfId="0" applyFont="1" applyFill="1" applyBorder="1" applyAlignment="1">
      <alignment horizontal="left" vertical="center" wrapText="1"/>
    </xf>
    <xf numFmtId="0" fontId="17" fillId="0" borderId="30" xfId="0" applyFont="1" applyBorder="1" applyAlignment="1">
      <alignment horizontal="right" vertical="center" wrapText="1" indent="2"/>
    </xf>
    <xf numFmtId="0" fontId="17" fillId="0" borderId="15" xfId="0" applyFont="1" applyBorder="1" applyAlignment="1">
      <alignment horizontal="left" vertical="center" wrapText="1"/>
    </xf>
    <xf numFmtId="3" fontId="16" fillId="0" borderId="41" xfId="0" applyNumberFormat="1" applyFont="1" applyBorder="1" applyAlignment="1" applyProtection="1">
      <alignment horizontal="center" vertical="center" wrapText="1"/>
      <protection locked="0"/>
    </xf>
    <xf numFmtId="3" fontId="14" fillId="11" borderId="39" xfId="0" applyNumberFormat="1" applyFont="1" applyFill="1" applyBorder="1" applyAlignment="1">
      <alignment horizontal="center" vertical="center" wrapText="1"/>
    </xf>
    <xf numFmtId="0" fontId="17" fillId="0" borderId="43" xfId="0" applyFont="1" applyBorder="1" applyAlignment="1">
      <alignment horizontal="right" vertical="center" wrapText="1" indent="2"/>
    </xf>
    <xf numFmtId="0" fontId="17" fillId="0" borderId="9" xfId="0" applyFont="1" applyBorder="1" applyAlignment="1">
      <alignment horizontal="left" vertical="center" wrapText="1"/>
    </xf>
    <xf numFmtId="3" fontId="16" fillId="0" borderId="17" xfId="0" applyNumberFormat="1" applyFont="1" applyBorder="1" applyAlignment="1" applyProtection="1">
      <alignment horizontal="center" vertical="center" wrapText="1"/>
      <protection locked="0"/>
    </xf>
    <xf numFmtId="3" fontId="14" fillId="11" borderId="36" xfId="0" applyNumberFormat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left" vertical="center" wrapText="1"/>
    </xf>
    <xf numFmtId="3" fontId="16" fillId="0" borderId="43" xfId="0" applyNumberFormat="1" applyFont="1" applyBorder="1" applyAlignment="1" applyProtection="1">
      <alignment horizontal="center" vertical="center" wrapText="1"/>
      <protection locked="0"/>
    </xf>
    <xf numFmtId="3" fontId="14" fillId="11" borderId="44" xfId="0" applyNumberFormat="1" applyFont="1" applyFill="1" applyBorder="1" applyAlignment="1">
      <alignment horizontal="center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0" borderId="46" xfId="0" applyFont="1" applyBorder="1" applyAlignment="1">
      <alignment vertical="center" wrapText="1"/>
    </xf>
    <xf numFmtId="0" fontId="17" fillId="0" borderId="32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left" vertical="center" wrapText="1"/>
    </xf>
    <xf numFmtId="3" fontId="16" fillId="0" borderId="47" xfId="0" applyNumberFormat="1" applyFont="1" applyBorder="1" applyAlignment="1" applyProtection="1">
      <alignment horizontal="center" vertical="center" wrapText="1"/>
      <protection locked="0"/>
    </xf>
    <xf numFmtId="3" fontId="16" fillId="0" borderId="5" xfId="0" applyNumberFormat="1" applyFont="1" applyBorder="1" applyAlignment="1" applyProtection="1">
      <alignment horizontal="center" vertical="center" wrapText="1"/>
      <protection locked="0"/>
    </xf>
    <xf numFmtId="3" fontId="14" fillId="11" borderId="42" xfId="0" applyNumberFormat="1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3" fontId="14" fillId="10" borderId="50" xfId="0" applyNumberFormat="1" applyFont="1" applyFill="1" applyBorder="1" applyAlignment="1">
      <alignment horizontal="center" vertical="center" wrapText="1"/>
    </xf>
    <xf numFmtId="3" fontId="14" fillId="10" borderId="51" xfId="0" applyNumberFormat="1" applyFont="1" applyFill="1" applyBorder="1" applyAlignment="1">
      <alignment horizontal="center" vertical="center" wrapText="1"/>
    </xf>
    <xf numFmtId="3" fontId="19" fillId="0" borderId="4" xfId="0" applyNumberFormat="1" applyFont="1" applyBorder="1" applyAlignment="1" applyProtection="1">
      <alignment horizontal="center" vertical="center" wrapText="1"/>
      <protection locked="0"/>
    </xf>
    <xf numFmtId="3" fontId="19" fillId="0" borderId="5" xfId="0" applyNumberFormat="1" applyFont="1" applyBorder="1" applyAlignment="1" applyProtection="1">
      <alignment horizontal="center" vertical="center" wrapText="1"/>
      <protection locked="0"/>
    </xf>
    <xf numFmtId="0" fontId="17" fillId="0" borderId="5" xfId="0" applyFont="1" applyBorder="1" applyAlignment="1">
      <alignment horizontal="right" vertical="center" wrapText="1" indent="2"/>
    </xf>
    <xf numFmtId="3" fontId="19" fillId="0" borderId="6" xfId="0" applyNumberFormat="1" applyFont="1" applyBorder="1" applyAlignment="1" applyProtection="1">
      <alignment horizontal="center" vertical="center" wrapText="1"/>
      <protection locked="0"/>
    </xf>
    <xf numFmtId="0" fontId="19" fillId="0" borderId="5" xfId="0" applyFont="1" applyBorder="1" applyAlignment="1">
      <alignment horizontal="center" vertical="center"/>
    </xf>
    <xf numFmtId="3" fontId="19" fillId="0" borderId="43" xfId="0" applyNumberFormat="1" applyFont="1" applyBorder="1" applyAlignment="1" applyProtection="1">
      <alignment horizontal="center" vertical="center" wrapText="1"/>
      <protection locked="0"/>
    </xf>
    <xf numFmtId="0" fontId="19" fillId="0" borderId="43" xfId="0" applyFont="1" applyBorder="1" applyAlignment="1">
      <alignment horizontal="center" vertical="center"/>
    </xf>
    <xf numFmtId="0" fontId="17" fillId="0" borderId="1" xfId="0" applyFont="1" applyBorder="1" applyAlignment="1">
      <alignment horizontal="right" vertical="center" wrapText="1" indent="2"/>
    </xf>
    <xf numFmtId="0" fontId="19" fillId="0" borderId="6" xfId="0" applyFont="1" applyBorder="1" applyAlignment="1">
      <alignment horizontal="center" vertical="center"/>
    </xf>
    <xf numFmtId="0" fontId="17" fillId="0" borderId="8" xfId="0" applyFont="1" applyBorder="1" applyAlignment="1">
      <alignment horizontal="right" vertical="center" wrapText="1" indent="2"/>
    </xf>
    <xf numFmtId="0" fontId="17" fillId="0" borderId="46" xfId="0" applyFont="1" applyBorder="1" applyAlignment="1">
      <alignment horizontal="left" vertical="center" wrapText="1"/>
    </xf>
    <xf numFmtId="3" fontId="14" fillId="12" borderId="33" xfId="0" applyNumberFormat="1" applyFont="1" applyFill="1" applyBorder="1" applyAlignment="1">
      <alignment horizontal="center" vertical="center" wrapText="1"/>
    </xf>
    <xf numFmtId="3" fontId="16" fillId="12" borderId="4" xfId="0" applyNumberFormat="1" applyFont="1" applyFill="1" applyBorder="1" applyAlignment="1" applyProtection="1">
      <alignment horizontal="center" vertical="center" wrapText="1"/>
      <protection locked="0"/>
    </xf>
    <xf numFmtId="3" fontId="19" fillId="12" borderId="4" xfId="0" applyNumberFormat="1" applyFont="1" applyFill="1" applyBorder="1" applyAlignment="1" applyProtection="1">
      <alignment horizontal="center" vertical="center" wrapText="1"/>
      <protection locked="0"/>
    </xf>
    <xf numFmtId="0" fontId="17" fillId="12" borderId="4" xfId="0" applyFont="1" applyFill="1" applyBorder="1" applyAlignment="1">
      <alignment horizontal="right" vertical="center" wrapText="1" indent="2"/>
    </xf>
    <xf numFmtId="0" fontId="17" fillId="12" borderId="2" xfId="0" applyFont="1" applyFill="1" applyBorder="1" applyAlignment="1">
      <alignment horizontal="left" vertical="center" wrapText="1"/>
    </xf>
    <xf numFmtId="3" fontId="14" fillId="12" borderId="42" xfId="0" applyNumberFormat="1" applyFont="1" applyFill="1" applyBorder="1" applyAlignment="1">
      <alignment horizontal="center" vertical="center" wrapText="1"/>
    </xf>
    <xf numFmtId="3" fontId="16" fillId="12" borderId="5" xfId="0" applyNumberFormat="1" applyFont="1" applyFill="1" applyBorder="1" applyAlignment="1" applyProtection="1">
      <alignment horizontal="center" vertical="center" wrapText="1"/>
      <protection locked="0"/>
    </xf>
    <xf numFmtId="3" fontId="19" fillId="12" borderId="5" xfId="0" applyNumberFormat="1" applyFont="1" applyFill="1" applyBorder="1" applyAlignment="1" applyProtection="1">
      <alignment horizontal="center" vertical="center" wrapText="1"/>
      <protection locked="0"/>
    </xf>
    <xf numFmtId="0" fontId="19" fillId="12" borderId="5" xfId="0" applyFont="1" applyFill="1" applyBorder="1" applyAlignment="1">
      <alignment horizontal="center" vertical="center"/>
    </xf>
    <xf numFmtId="0" fontId="17" fillId="12" borderId="5" xfId="0" applyFont="1" applyFill="1" applyBorder="1" applyAlignment="1">
      <alignment horizontal="right" vertical="center" wrapText="1" indent="2"/>
    </xf>
    <xf numFmtId="0" fontId="17" fillId="12" borderId="9" xfId="0" applyFont="1" applyFill="1" applyBorder="1" applyAlignment="1">
      <alignment horizontal="left" vertical="center" wrapText="1"/>
    </xf>
    <xf numFmtId="0" fontId="19" fillId="12" borderId="6" xfId="0" applyFont="1" applyFill="1" applyBorder="1" applyAlignment="1">
      <alignment horizontal="center" vertical="center"/>
    </xf>
    <xf numFmtId="3" fontId="19" fillId="12" borderId="6" xfId="0" applyNumberFormat="1" applyFont="1" applyFill="1" applyBorder="1" applyAlignment="1" applyProtection="1">
      <alignment horizontal="center" vertical="center" wrapText="1"/>
      <protection locked="0"/>
    </xf>
    <xf numFmtId="49" fontId="17" fillId="0" borderId="47" xfId="0" applyNumberFormat="1" applyFont="1" applyBorder="1" applyAlignment="1">
      <alignment horizontal="right" vertical="center" wrapText="1" indent="2"/>
    </xf>
    <xf numFmtId="49" fontId="17" fillId="0" borderId="45" xfId="0" applyNumberFormat="1" applyFont="1" applyBorder="1" applyAlignment="1">
      <alignment horizontal="right" vertical="center" wrapText="1" indent="2"/>
    </xf>
    <xf numFmtId="49" fontId="17" fillId="0" borderId="12" xfId="0" applyNumberFormat="1" applyFont="1" applyBorder="1" applyAlignment="1">
      <alignment horizontal="right" vertical="center" wrapText="1" indent="2"/>
    </xf>
    <xf numFmtId="49" fontId="17" fillId="0" borderId="37" xfId="0" applyNumberFormat="1" applyFont="1" applyBorder="1" applyAlignment="1">
      <alignment horizontal="right" vertical="center" wrapText="1" indent="2"/>
    </xf>
    <xf numFmtId="49" fontId="17" fillId="0" borderId="34" xfId="0" applyNumberFormat="1" applyFont="1" applyBorder="1" applyAlignment="1">
      <alignment horizontal="right" vertical="center" wrapText="1" indent="2"/>
    </xf>
    <xf numFmtId="3" fontId="14" fillId="0" borderId="5" xfId="0" applyNumberFormat="1" applyFont="1" applyBorder="1" applyAlignment="1">
      <alignment horizontal="center" vertical="center" wrapText="1"/>
    </xf>
    <xf numFmtId="3" fontId="19" fillId="0" borderId="41" xfId="0" applyNumberFormat="1" applyFont="1" applyBorder="1" applyAlignment="1" applyProtection="1">
      <alignment horizontal="center" vertical="center" wrapText="1"/>
      <protection locked="0"/>
    </xf>
    <xf numFmtId="49" fontId="17" fillId="0" borderId="40" xfId="0" applyNumberFormat="1" applyFont="1" applyBorder="1" applyAlignment="1">
      <alignment horizontal="right" vertical="center" wrapText="1" indent="2"/>
    </xf>
    <xf numFmtId="0" fontId="17" fillId="0" borderId="52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center" vertical="center"/>
    </xf>
    <xf numFmtId="49" fontId="17" fillId="0" borderId="25" xfId="0" applyNumberFormat="1" applyFont="1" applyBorder="1" applyAlignment="1">
      <alignment horizontal="left" vertical="center" wrapText="1"/>
    </xf>
    <xf numFmtId="0" fontId="17" fillId="0" borderId="27" xfId="0" applyFont="1" applyBorder="1" applyAlignment="1">
      <alignment horizontal="center" vertical="center" wrapText="1"/>
    </xf>
    <xf numFmtId="49" fontId="17" fillId="13" borderId="25" xfId="0" applyNumberFormat="1" applyFont="1" applyFill="1" applyBorder="1" applyAlignment="1">
      <alignment vertical="center" wrapText="1"/>
    </xf>
    <xf numFmtId="49" fontId="17" fillId="0" borderId="4" xfId="0" applyNumberFormat="1" applyFont="1" applyBorder="1" applyAlignment="1">
      <alignment vertical="center" wrapText="1"/>
    </xf>
    <xf numFmtId="49" fontId="17" fillId="0" borderId="5" xfId="0" applyNumberFormat="1" applyFont="1" applyBorder="1" applyAlignment="1">
      <alignment vertical="center" wrapText="1"/>
    </xf>
    <xf numFmtId="49" fontId="17" fillId="0" borderId="6" xfId="0" applyNumberFormat="1" applyFont="1" applyBorder="1" applyAlignment="1">
      <alignment vertical="center" wrapText="1"/>
    </xf>
    <xf numFmtId="49" fontId="17" fillId="0" borderId="4" xfId="0" applyNumberFormat="1" applyFont="1" applyBorder="1" applyAlignment="1">
      <alignment horizontal="left" vertical="center" wrapText="1"/>
    </xf>
    <xf numFmtId="49" fontId="17" fillId="0" borderId="5" xfId="0" applyNumberFormat="1" applyFont="1" applyBorder="1" applyAlignment="1">
      <alignment horizontal="left" vertical="center" wrapText="1"/>
    </xf>
    <xf numFmtId="49" fontId="17" fillId="13" borderId="6" xfId="0" applyNumberFormat="1" applyFont="1" applyFill="1" applyBorder="1" applyAlignment="1">
      <alignment horizontal="left" vertical="center" wrapText="1"/>
    </xf>
    <xf numFmtId="0" fontId="19" fillId="0" borderId="4" xfId="0" applyFont="1" applyBorder="1" applyAlignment="1">
      <alignment horizontal="center" vertical="center"/>
    </xf>
    <xf numFmtId="3" fontId="16" fillId="0" borderId="9" xfId="0" applyNumberFormat="1" applyFont="1" applyBorder="1" applyAlignment="1" applyProtection="1">
      <alignment horizontal="center" vertical="center" wrapText="1"/>
      <protection locked="0"/>
    </xf>
    <xf numFmtId="0" fontId="19" fillId="0" borderId="9" xfId="0" applyFont="1" applyBorder="1" applyAlignment="1">
      <alignment horizontal="center" vertical="center"/>
    </xf>
    <xf numFmtId="3" fontId="19" fillId="0" borderId="9" xfId="0" applyNumberFormat="1" applyFont="1" applyBorder="1" applyAlignment="1" applyProtection="1">
      <alignment horizontal="center" vertical="center" wrapText="1"/>
      <protection locked="0"/>
    </xf>
    <xf numFmtId="49" fontId="17" fillId="13" borderId="5" xfId="0" applyNumberFormat="1" applyFont="1" applyFill="1" applyBorder="1" applyAlignment="1">
      <alignment horizontal="left" vertical="center" wrapText="1"/>
    </xf>
    <xf numFmtId="49" fontId="17" fillId="0" borderId="6" xfId="0" applyNumberFormat="1" applyFont="1" applyBorder="1" applyAlignment="1">
      <alignment horizontal="left" vertical="center" wrapText="1"/>
    </xf>
    <xf numFmtId="49" fontId="17" fillId="0" borderId="34" xfId="0" applyNumberFormat="1" applyFont="1" applyBorder="1" applyAlignment="1">
      <alignment horizontal="left" vertical="center"/>
    </xf>
    <xf numFmtId="49" fontId="17" fillId="0" borderId="47" xfId="0" applyNumberFormat="1" applyFont="1" applyBorder="1" applyAlignment="1">
      <alignment horizontal="left" vertical="center"/>
    </xf>
    <xf numFmtId="49" fontId="17" fillId="0" borderId="40" xfId="0" applyNumberFormat="1" applyFont="1" applyBorder="1" applyAlignment="1">
      <alignment horizontal="left" vertical="center"/>
    </xf>
    <xf numFmtId="49" fontId="17" fillId="13" borderId="47" xfId="0" applyNumberFormat="1" applyFont="1" applyFill="1" applyBorder="1" applyAlignment="1">
      <alignment horizontal="left" vertical="center"/>
    </xf>
    <xf numFmtId="3" fontId="14" fillId="0" borderId="6" xfId="0" applyNumberFormat="1" applyFont="1" applyBorder="1" applyAlignment="1">
      <alignment horizontal="center" vertical="center" wrapText="1"/>
    </xf>
    <xf numFmtId="49" fontId="17" fillId="0" borderId="12" xfId="0" applyNumberFormat="1" applyFont="1" applyBorder="1" applyAlignment="1">
      <alignment horizontal="left" vertical="center" wrapText="1"/>
    </xf>
    <xf numFmtId="49" fontId="17" fillId="0" borderId="29" xfId="0" applyNumberFormat="1" applyFont="1" applyBorder="1" applyAlignment="1">
      <alignment horizontal="left" vertical="center" wrapText="1"/>
    </xf>
    <xf numFmtId="49" fontId="17" fillId="13" borderId="47" xfId="0" applyNumberFormat="1" applyFont="1" applyFill="1" applyBorder="1" applyAlignment="1">
      <alignment horizontal="left" vertical="center" wrapText="1"/>
    </xf>
    <xf numFmtId="49" fontId="17" fillId="0" borderId="47" xfId="0" applyNumberFormat="1" applyFont="1" applyBorder="1" applyAlignment="1">
      <alignment horizontal="left" vertical="center" wrapText="1"/>
    </xf>
    <xf numFmtId="49" fontId="17" fillId="0" borderId="45" xfId="0" applyNumberFormat="1" applyFont="1" applyBorder="1" applyAlignment="1">
      <alignment horizontal="left" vertical="center" wrapText="1"/>
    </xf>
    <xf numFmtId="49" fontId="17" fillId="0" borderId="34" xfId="0" applyNumberFormat="1" applyFont="1" applyBorder="1" applyAlignment="1">
      <alignment horizontal="left" vertical="center" wrapText="1"/>
    </xf>
    <xf numFmtId="49" fontId="17" fillId="13" borderId="34" xfId="0" applyNumberFormat="1" applyFont="1" applyFill="1" applyBorder="1" applyAlignment="1">
      <alignment horizontal="left" vertical="center" wrapText="1"/>
    </xf>
    <xf numFmtId="3" fontId="14" fillId="6" borderId="55" xfId="0" applyNumberFormat="1" applyFont="1" applyFill="1" applyBorder="1" applyAlignment="1">
      <alignment horizontal="center" vertical="center" wrapText="1"/>
    </xf>
    <xf numFmtId="3" fontId="14" fillId="6" borderId="25" xfId="0" applyNumberFormat="1" applyFont="1" applyFill="1" applyBorder="1" applyAlignment="1">
      <alignment horizontal="center" vertical="center" wrapText="1"/>
    </xf>
    <xf numFmtId="3" fontId="14" fillId="6" borderId="26" xfId="0" applyNumberFormat="1" applyFont="1" applyFill="1" applyBorder="1" applyAlignment="1">
      <alignment horizontal="center" vertical="center" wrapText="1"/>
    </xf>
    <xf numFmtId="3" fontId="14" fillId="10" borderId="28" xfId="0" applyNumberFormat="1" applyFont="1" applyFill="1" applyBorder="1" applyAlignment="1">
      <alignment horizontal="center" vertical="center" wrapText="1"/>
    </xf>
    <xf numFmtId="3" fontId="16" fillId="10" borderId="30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43" xfId="0" applyFont="1" applyBorder="1" applyAlignment="1">
      <alignment horizontal="left" vertical="center" wrapText="1"/>
    </xf>
    <xf numFmtId="49" fontId="15" fillId="0" borderId="0" xfId="0" applyNumberFormat="1" applyFont="1" applyAlignment="1">
      <alignment horizontal="left" vertical="center" wrapText="1"/>
    </xf>
    <xf numFmtId="3" fontId="16" fillId="10" borderId="25" xfId="0" applyNumberFormat="1" applyFont="1" applyFill="1" applyBorder="1" applyAlignment="1" applyProtection="1">
      <alignment horizontal="center" vertical="center" wrapText="1"/>
      <protection locked="0"/>
    </xf>
    <xf numFmtId="3" fontId="16" fillId="10" borderId="26" xfId="0" applyNumberFormat="1" applyFont="1" applyFill="1" applyBorder="1" applyAlignment="1" applyProtection="1">
      <alignment horizontal="center" vertical="center" wrapText="1"/>
      <protection locked="0"/>
    </xf>
    <xf numFmtId="3" fontId="14" fillId="11" borderId="57" xfId="0" applyNumberFormat="1" applyFont="1" applyFill="1" applyBorder="1" applyAlignment="1">
      <alignment horizontal="center" vertical="center" wrapText="1"/>
    </xf>
    <xf numFmtId="49" fontId="15" fillId="0" borderId="40" xfId="0" applyNumberFormat="1" applyFont="1" applyBorder="1" applyAlignment="1">
      <alignment horizontal="left" vertical="center" wrapText="1"/>
    </xf>
    <xf numFmtId="0" fontId="15" fillId="0" borderId="41" xfId="0" applyFont="1" applyBorder="1" applyAlignment="1">
      <alignment horizontal="left" vertical="center" wrapText="1"/>
    </xf>
    <xf numFmtId="3" fontId="14" fillId="10" borderId="36" xfId="0" applyNumberFormat="1" applyFont="1" applyFill="1" applyBorder="1" applyAlignment="1">
      <alignment horizontal="center" vertical="center" wrapText="1"/>
    </xf>
    <xf numFmtId="3" fontId="16" fillId="10" borderId="38" xfId="0" applyNumberFormat="1" applyFont="1" applyFill="1" applyBorder="1" applyAlignment="1" applyProtection="1">
      <alignment horizontal="center" vertical="center" wrapText="1"/>
      <protection locked="0"/>
    </xf>
    <xf numFmtId="3" fontId="14" fillId="10" borderId="58" xfId="0" applyNumberFormat="1" applyFont="1" applyFill="1" applyBorder="1" applyAlignment="1">
      <alignment horizontal="center" vertical="center" wrapText="1"/>
    </xf>
    <xf numFmtId="3" fontId="14" fillId="11" borderId="50" xfId="0" applyNumberFormat="1" applyFont="1" applyFill="1" applyBorder="1" applyAlignment="1">
      <alignment horizontal="center" vertical="center" wrapText="1"/>
    </xf>
    <xf numFmtId="49" fontId="17" fillId="0" borderId="24" xfId="0" applyNumberFormat="1" applyFont="1" applyBorder="1" applyAlignment="1">
      <alignment horizontal="left" vertical="center" wrapText="1"/>
    </xf>
    <xf numFmtId="0" fontId="17" fillId="0" borderId="25" xfId="0" applyFont="1" applyBorder="1" applyAlignment="1">
      <alignment horizontal="left" vertical="center" wrapText="1"/>
    </xf>
    <xf numFmtId="3" fontId="14" fillId="11" borderId="59" xfId="0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left" vertical="center" wrapText="1"/>
    </xf>
    <xf numFmtId="3" fontId="14" fillId="11" borderId="60" xfId="0" applyNumberFormat="1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3" fontId="14" fillId="11" borderId="16" xfId="0" applyNumberFormat="1" applyFont="1" applyFill="1" applyBorder="1" applyAlignment="1">
      <alignment horizontal="center" vertical="center" wrapText="1"/>
    </xf>
    <xf numFmtId="3" fontId="14" fillId="10" borderId="32" xfId="0" applyNumberFormat="1" applyFont="1" applyFill="1" applyBorder="1" applyAlignment="1">
      <alignment horizontal="center" vertical="center" wrapText="1"/>
    </xf>
    <xf numFmtId="3" fontId="16" fillId="10" borderId="56" xfId="0" applyNumberFormat="1" applyFont="1" applyFill="1" applyBorder="1" applyAlignment="1" applyProtection="1">
      <alignment horizontal="center" vertical="center" wrapText="1"/>
      <protection locked="0"/>
    </xf>
    <xf numFmtId="3" fontId="14" fillId="10" borderId="61" xfId="0" applyNumberFormat="1" applyFont="1" applyFill="1" applyBorder="1" applyAlignment="1">
      <alignment horizontal="center" vertical="center" wrapText="1"/>
    </xf>
    <xf numFmtId="49" fontId="17" fillId="0" borderId="40" xfId="0" applyNumberFormat="1" applyFont="1" applyBorder="1" applyAlignment="1">
      <alignment horizontal="left" vertical="center" wrapText="1"/>
    </xf>
    <xf numFmtId="3" fontId="16" fillId="14" borderId="47" xfId="0" applyNumberFormat="1" applyFont="1" applyFill="1" applyBorder="1" applyAlignment="1" applyProtection="1">
      <alignment horizontal="center" vertical="center" wrapText="1"/>
      <protection locked="0"/>
    </xf>
    <xf numFmtId="3" fontId="14" fillId="11" borderId="62" xfId="0" applyNumberFormat="1" applyFont="1" applyFill="1" applyBorder="1" applyAlignment="1">
      <alignment horizontal="center" vertical="center" wrapText="1"/>
    </xf>
    <xf numFmtId="49" fontId="15" fillId="0" borderId="47" xfId="0" applyNumberFormat="1" applyFont="1" applyBorder="1" applyAlignment="1">
      <alignment horizontal="left" vertical="center" wrapText="1"/>
    </xf>
    <xf numFmtId="0" fontId="17" fillId="0" borderId="41" xfId="0" applyFont="1" applyBorder="1" applyAlignment="1">
      <alignment horizontal="left" vertical="center" wrapText="1"/>
    </xf>
    <xf numFmtId="3" fontId="14" fillId="0" borderId="43" xfId="0" applyNumberFormat="1" applyFont="1" applyBorder="1" applyAlignment="1">
      <alignment horizontal="center" vertical="center" wrapText="1"/>
    </xf>
    <xf numFmtId="0" fontId="19" fillId="10" borderId="26" xfId="0" applyFont="1" applyFill="1" applyBorder="1" applyAlignment="1">
      <alignment horizontal="center" vertical="center"/>
    </xf>
    <xf numFmtId="0" fontId="17" fillId="0" borderId="34" xfId="0" applyFont="1" applyBorder="1" applyAlignment="1">
      <alignment horizontal="left" vertical="center" wrapText="1"/>
    </xf>
    <xf numFmtId="0" fontId="17" fillId="0" borderId="47" xfId="0" applyFont="1" applyBorder="1" applyAlignment="1">
      <alignment horizontal="left" vertical="center" wrapText="1"/>
    </xf>
    <xf numFmtId="49" fontId="16" fillId="0" borderId="34" xfId="0" applyNumberFormat="1" applyFont="1" applyBorder="1" applyAlignment="1">
      <alignment horizontal="left" vertical="center" wrapText="1"/>
    </xf>
    <xf numFmtId="0" fontId="0" fillId="0" borderId="0" xfId="0" applyAlignment="1">
      <alignment vertical="top"/>
    </xf>
    <xf numFmtId="3" fontId="14" fillId="11" borderId="19" xfId="0" applyNumberFormat="1" applyFont="1" applyFill="1" applyBorder="1" applyAlignment="1">
      <alignment horizontal="center" vertical="top" wrapText="1"/>
    </xf>
    <xf numFmtId="0" fontId="15" fillId="15" borderId="63" xfId="0" applyFont="1" applyFill="1" applyBorder="1" applyAlignment="1">
      <alignment horizontal="center" vertical="center" wrapText="1"/>
    </xf>
    <xf numFmtId="0" fontId="15" fillId="15" borderId="6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2" fillId="17" borderId="22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 applyProtection="1">
      <alignment horizontal="center" vertical="center"/>
      <protection locked="0"/>
    </xf>
    <xf numFmtId="3" fontId="19" fillId="3" borderId="5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19" borderId="10" xfId="0" applyFont="1" applyFill="1" applyBorder="1" applyAlignment="1" applyProtection="1">
      <alignment horizontal="left" vertical="top" wrapText="1"/>
      <protection locked="0"/>
    </xf>
    <xf numFmtId="0" fontId="10" fillId="0" borderId="5" xfId="0" applyFont="1" applyBorder="1" applyAlignment="1">
      <alignment vertical="center"/>
    </xf>
    <xf numFmtId="9" fontId="10" fillId="0" borderId="5" xfId="2" applyFont="1" applyFill="1" applyBorder="1" applyAlignment="1" applyProtection="1">
      <alignment horizontal="center" vertical="center"/>
      <protection locked="0"/>
    </xf>
    <xf numFmtId="171" fontId="10" fillId="0" borderId="0" xfId="0" applyNumberFormat="1" applyFont="1" applyAlignment="1" applyProtection="1">
      <alignment horizontal="center" vertical="center"/>
      <protection locked="0"/>
    </xf>
    <xf numFmtId="165" fontId="10" fillId="0" borderId="0" xfId="3" applyFont="1" applyAlignment="1" applyProtection="1">
      <alignment horizontal="center" vertical="center"/>
      <protection locked="0"/>
    </xf>
    <xf numFmtId="0" fontId="13" fillId="7" borderId="5" xfId="0" applyFont="1" applyFill="1" applyBorder="1" applyAlignment="1">
      <alignment horizontal="center" vertical="center"/>
    </xf>
    <xf numFmtId="3" fontId="13" fillId="6" borderId="5" xfId="0" applyNumberFormat="1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24" fillId="5" borderId="5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3" borderId="5" xfId="0" applyFont="1" applyFill="1" applyBorder="1" applyAlignment="1" applyProtection="1">
      <alignment horizontal="center" vertical="center"/>
      <protection locked="0"/>
    </xf>
    <xf numFmtId="0" fontId="11" fillId="0" borderId="5" xfId="0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0" fillId="3" borderId="5" xfId="0" applyFont="1" applyFill="1" applyBorder="1" applyAlignment="1">
      <alignment horizontal="center" vertical="center"/>
    </xf>
    <xf numFmtId="0" fontId="11" fillId="3" borderId="5" xfId="0" applyFont="1" applyFill="1" applyBorder="1" applyAlignment="1" applyProtection="1">
      <alignment horizontal="center" vertical="center"/>
      <protection locked="0"/>
    </xf>
    <xf numFmtId="0" fontId="10" fillId="0" borderId="5" xfId="0" applyFont="1" applyBorder="1" applyAlignment="1">
      <alignment horizontal="right" vertical="center"/>
    </xf>
    <xf numFmtId="0" fontId="11" fillId="0" borderId="5" xfId="0" applyFont="1" applyBorder="1" applyAlignment="1">
      <alignment vertical="center"/>
    </xf>
    <xf numFmtId="0" fontId="10" fillId="0" borderId="0" xfId="0" applyFont="1" applyAlignment="1">
      <alignment horizontal="right" vertical="center"/>
    </xf>
    <xf numFmtId="3" fontId="10" fillId="0" borderId="0" xfId="0" applyNumberFormat="1" applyFont="1" applyAlignment="1">
      <alignment horizontal="center" vertical="center"/>
    </xf>
    <xf numFmtId="0" fontId="13" fillId="3" borderId="5" xfId="0" applyFont="1" applyFill="1" applyBorder="1" applyAlignment="1" applyProtection="1">
      <alignment horizontal="center" vertical="center"/>
      <protection locked="0"/>
    </xf>
    <xf numFmtId="167" fontId="3" fillId="0" borderId="0" xfId="0" applyNumberFormat="1" applyFont="1"/>
    <xf numFmtId="172" fontId="10" fillId="0" borderId="5" xfId="0" applyNumberFormat="1" applyFont="1" applyBorder="1" applyAlignment="1">
      <alignment horizontal="left" vertical="center"/>
    </xf>
    <xf numFmtId="9" fontId="1" fillId="0" borderId="18" xfId="2" applyFont="1" applyBorder="1" applyAlignment="1">
      <alignment horizontal="center" vertical="center"/>
    </xf>
    <xf numFmtId="3" fontId="11" fillId="0" borderId="5" xfId="0" applyNumberFormat="1" applyFont="1" applyBorder="1" applyAlignment="1">
      <alignment horizontal="right" vertical="center"/>
    </xf>
    <xf numFmtId="0" fontId="10" fillId="0" borderId="0" xfId="0" applyFont="1" applyAlignment="1">
      <alignment horizontal="left" vertical="center" wrapText="1"/>
    </xf>
    <xf numFmtId="167" fontId="26" fillId="0" borderId="0" xfId="0" applyNumberFormat="1" applyFont="1"/>
    <xf numFmtId="0" fontId="9" fillId="0" borderId="0" xfId="0" applyFont="1" applyAlignment="1">
      <alignment horizontal="center" vertical="center"/>
    </xf>
    <xf numFmtId="172" fontId="10" fillId="0" borderId="5" xfId="3" applyNumberFormat="1" applyFont="1" applyFill="1" applyBorder="1" applyAlignment="1" applyProtection="1">
      <alignment horizontal="center" vertical="center"/>
      <protection locked="0"/>
    </xf>
    <xf numFmtId="173" fontId="1" fillId="0" borderId="0" xfId="0" applyNumberFormat="1" applyFont="1"/>
    <xf numFmtId="3" fontId="3" fillId="0" borderId="0" xfId="0" applyNumberFormat="1" applyFont="1" applyAlignment="1">
      <alignment wrapText="1"/>
    </xf>
    <xf numFmtId="0" fontId="11" fillId="0" borderId="5" xfId="0" applyFont="1" applyBorder="1" applyAlignment="1" applyProtection="1">
      <alignment horizontal="center" vertical="center"/>
      <protection locked="0"/>
    </xf>
    <xf numFmtId="0" fontId="10" fillId="0" borderId="0" xfId="0" applyFont="1"/>
    <xf numFmtId="3" fontId="19" fillId="3" borderId="47" xfId="0" applyNumberFormat="1" applyFont="1" applyFill="1" applyBorder="1" applyAlignment="1" applyProtection="1">
      <alignment horizontal="center" vertical="center" wrapText="1"/>
      <protection locked="0"/>
    </xf>
    <xf numFmtId="3" fontId="1" fillId="0" borderId="0" xfId="0" applyNumberFormat="1" applyFont="1"/>
    <xf numFmtId="167" fontId="1" fillId="0" borderId="0" xfId="0" applyNumberFormat="1" applyFont="1"/>
    <xf numFmtId="9" fontId="1" fillId="0" borderId="0" xfId="2" applyFont="1"/>
    <xf numFmtId="0" fontId="10" fillId="0" borderId="41" xfId="0" applyFont="1" applyBorder="1" applyAlignment="1">
      <alignment horizontal="center" vertical="center"/>
    </xf>
    <xf numFmtId="9" fontId="10" fillId="0" borderId="41" xfId="2" applyFont="1" applyFill="1" applyBorder="1" applyAlignment="1" applyProtection="1">
      <alignment horizontal="center" vertical="center"/>
      <protection locked="0"/>
    </xf>
    <xf numFmtId="172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vertical="center" wrapText="1"/>
    </xf>
    <xf numFmtId="164" fontId="29" fillId="0" borderId="5" xfId="1" applyFont="1" applyFill="1" applyBorder="1" applyAlignment="1" applyProtection="1">
      <alignment horizontal="left" vertical="top" wrapText="1"/>
      <protection locked="0"/>
    </xf>
    <xf numFmtId="172" fontId="10" fillId="0" borderId="0" xfId="3" applyNumberFormat="1" applyFont="1" applyFill="1" applyBorder="1" applyAlignment="1" applyProtection="1">
      <alignment horizontal="center" vertical="center"/>
      <protection locked="0"/>
    </xf>
    <xf numFmtId="172" fontId="10" fillId="0" borderId="41" xfId="0" applyNumberFormat="1" applyFont="1" applyBorder="1" applyAlignment="1">
      <alignment horizontal="left" vertical="center"/>
    </xf>
    <xf numFmtId="164" fontId="29" fillId="0" borderId="5" xfId="1" applyFont="1" applyFill="1" applyBorder="1" applyAlignment="1" applyProtection="1">
      <alignment horizontal="center" vertical="center"/>
      <protection locked="0"/>
    </xf>
    <xf numFmtId="164" fontId="29" fillId="0" borderId="5" xfId="1" applyFont="1" applyFill="1" applyBorder="1" applyAlignment="1" applyProtection="1">
      <alignment horizontal="left" vertical="center" wrapText="1"/>
      <protection locked="0"/>
    </xf>
    <xf numFmtId="164" fontId="29" fillId="0" borderId="5" xfId="1" applyFont="1" applyFill="1" applyBorder="1" applyAlignment="1" applyProtection="1">
      <alignment horizontal="center" vertical="top"/>
      <protection locked="0"/>
    </xf>
    <xf numFmtId="164" fontId="29" fillId="3" borderId="5" xfId="1" applyFont="1" applyFill="1" applyBorder="1" applyAlignment="1" applyProtection="1">
      <alignment horizontal="left" vertical="center" wrapText="1"/>
      <protection locked="0"/>
    </xf>
    <xf numFmtId="164" fontId="29" fillId="0" borderId="41" xfId="1" applyFont="1" applyFill="1" applyBorder="1" applyAlignment="1" applyProtection="1">
      <alignment horizontal="center" vertical="center"/>
      <protection locked="0"/>
    </xf>
    <xf numFmtId="164" fontId="29" fillId="0" borderId="41" xfId="1" applyFont="1" applyFill="1" applyBorder="1" applyAlignment="1" applyProtection="1">
      <alignment horizontal="left" vertical="top" wrapText="1"/>
      <protection locked="0"/>
    </xf>
    <xf numFmtId="0" fontId="10" fillId="0" borderId="5" xfId="0" applyFont="1" applyBorder="1" applyAlignment="1" applyProtection="1">
      <alignment vertical="center"/>
      <protection locked="0"/>
    </xf>
    <xf numFmtId="3" fontId="14" fillId="11" borderId="32" xfId="0" applyNumberFormat="1" applyFont="1" applyFill="1" applyBorder="1" applyAlignment="1">
      <alignment horizontal="center" vertical="center" wrapText="1"/>
    </xf>
    <xf numFmtId="49" fontId="17" fillId="13" borderId="24" xfId="0" applyNumberFormat="1" applyFont="1" applyFill="1" applyBorder="1" applyAlignment="1">
      <alignment horizontal="left" vertical="center" wrapText="1"/>
    </xf>
    <xf numFmtId="3" fontId="14" fillId="6" borderId="50" xfId="0" applyNumberFormat="1" applyFont="1" applyFill="1" applyBorder="1" applyAlignment="1">
      <alignment horizontal="center" vertical="center" wrapText="1"/>
    </xf>
    <xf numFmtId="3" fontId="14" fillId="11" borderId="65" xfId="0" applyNumberFormat="1" applyFont="1" applyFill="1" applyBorder="1" applyAlignment="1">
      <alignment horizontal="center" vertical="center" wrapText="1"/>
    </xf>
    <xf numFmtId="3" fontId="14" fillId="10" borderId="22" xfId="0" applyNumberFormat="1" applyFont="1" applyFill="1" applyBorder="1" applyAlignment="1">
      <alignment horizontal="center" vertical="center" wrapText="1"/>
    </xf>
    <xf numFmtId="3" fontId="14" fillId="6" borderId="22" xfId="0" applyNumberFormat="1" applyFont="1" applyFill="1" applyBorder="1" applyAlignment="1">
      <alignment horizontal="center" vertical="center" wrapText="1"/>
    </xf>
    <xf numFmtId="3" fontId="14" fillId="6" borderId="23" xfId="0" applyNumberFormat="1" applyFont="1" applyFill="1" applyBorder="1" applyAlignment="1">
      <alignment horizontal="center" vertical="center" wrapText="1"/>
    </xf>
    <xf numFmtId="166" fontId="3" fillId="0" borderId="0" xfId="11" applyFont="1"/>
    <xf numFmtId="166" fontId="3" fillId="0" borderId="0" xfId="0" applyNumberFormat="1" applyFont="1"/>
    <xf numFmtId="3" fontId="8" fillId="3" borderId="0" xfId="0" applyNumberFormat="1" applyFont="1" applyFill="1" applyAlignment="1">
      <alignment horizontal="right" vertical="center" wrapText="1"/>
    </xf>
    <xf numFmtId="169" fontId="10" fillId="0" borderId="0" xfId="3" applyNumberFormat="1" applyFont="1" applyAlignment="1" applyProtection="1">
      <alignment horizontal="center" vertical="center"/>
      <protection locked="0"/>
    </xf>
    <xf numFmtId="3" fontId="14" fillId="2" borderId="60" xfId="0" applyNumberFormat="1" applyFont="1" applyFill="1" applyBorder="1" applyAlignment="1">
      <alignment horizontal="center" vertical="center" wrapText="1"/>
    </xf>
    <xf numFmtId="3" fontId="14" fillId="2" borderId="59" xfId="0" applyNumberFormat="1" applyFont="1" applyFill="1" applyBorder="1" applyAlignment="1">
      <alignment horizontal="center" vertical="center" wrapText="1"/>
    </xf>
    <xf numFmtId="3" fontId="14" fillId="2" borderId="16" xfId="0" applyNumberFormat="1" applyFont="1" applyFill="1" applyBorder="1" applyAlignment="1">
      <alignment horizontal="center" vertical="center" wrapText="1"/>
    </xf>
    <xf numFmtId="3" fontId="14" fillId="2" borderId="57" xfId="0" applyNumberFormat="1" applyFont="1" applyFill="1" applyBorder="1" applyAlignment="1">
      <alignment horizontal="center" vertical="center" wrapText="1"/>
    </xf>
    <xf numFmtId="3" fontId="14" fillId="2" borderId="62" xfId="0" applyNumberFormat="1" applyFont="1" applyFill="1" applyBorder="1" applyAlignment="1">
      <alignment horizontal="center" vertical="center" wrapText="1"/>
    </xf>
    <xf numFmtId="3" fontId="14" fillId="2" borderId="50" xfId="0" applyNumberFormat="1" applyFont="1" applyFill="1" applyBorder="1" applyAlignment="1">
      <alignment horizontal="center" vertical="center" wrapText="1"/>
    </xf>
    <xf numFmtId="3" fontId="14" fillId="2" borderId="58" xfId="0" applyNumberFormat="1" applyFont="1" applyFill="1" applyBorder="1" applyAlignment="1">
      <alignment horizontal="center" vertical="center" wrapText="1"/>
    </xf>
    <xf numFmtId="3" fontId="14" fillId="2" borderId="61" xfId="0" applyNumberFormat="1" applyFont="1" applyFill="1" applyBorder="1" applyAlignment="1">
      <alignment horizontal="center" vertical="center" wrapText="1"/>
    </xf>
    <xf numFmtId="3" fontId="14" fillId="2" borderId="48" xfId="0" applyNumberFormat="1" applyFont="1" applyFill="1" applyBorder="1" applyAlignment="1">
      <alignment horizontal="center" vertical="center" wrapText="1"/>
    </xf>
    <xf numFmtId="3" fontId="14" fillId="12" borderId="16" xfId="0" applyNumberFormat="1" applyFont="1" applyFill="1" applyBorder="1" applyAlignment="1">
      <alignment horizontal="center" vertical="center" wrapText="1"/>
    </xf>
    <xf numFmtId="3" fontId="14" fillId="12" borderId="60" xfId="0" applyNumberFormat="1" applyFont="1" applyFill="1" applyBorder="1" applyAlignment="1">
      <alignment horizontal="center" vertical="center" wrapText="1"/>
    </xf>
    <xf numFmtId="3" fontId="14" fillId="12" borderId="59" xfId="0" applyNumberFormat="1" applyFont="1" applyFill="1" applyBorder="1" applyAlignment="1">
      <alignment horizontal="center" vertical="center" wrapText="1"/>
    </xf>
    <xf numFmtId="3" fontId="14" fillId="2" borderId="51" xfId="0" applyNumberFormat="1" applyFont="1" applyFill="1" applyBorder="1" applyAlignment="1">
      <alignment horizontal="center" vertical="center" wrapText="1"/>
    </xf>
    <xf numFmtId="3" fontId="14" fillId="12" borderId="58" xfId="0" applyNumberFormat="1" applyFont="1" applyFill="1" applyBorder="1" applyAlignment="1">
      <alignment horizontal="center" vertical="center" wrapText="1"/>
    </xf>
    <xf numFmtId="0" fontId="0" fillId="0" borderId="53" xfId="0" applyBorder="1" applyAlignment="1">
      <alignment vertical="center"/>
    </xf>
    <xf numFmtId="0" fontId="0" fillId="0" borderId="61" xfId="0" applyBorder="1" applyAlignment="1">
      <alignment vertical="center"/>
    </xf>
    <xf numFmtId="0" fontId="15" fillId="15" borderId="69" xfId="0" applyFont="1" applyFill="1" applyBorder="1" applyAlignment="1">
      <alignment horizontal="center" vertical="center" wrapText="1"/>
    </xf>
    <xf numFmtId="0" fontId="15" fillId="15" borderId="70" xfId="0" applyFont="1" applyFill="1" applyBorder="1" applyAlignment="1">
      <alignment horizontal="center" vertical="center" wrapText="1"/>
    </xf>
    <xf numFmtId="0" fontId="15" fillId="15" borderId="71" xfId="0" applyFont="1" applyFill="1" applyBorder="1" applyAlignment="1">
      <alignment horizontal="center" vertical="center" wrapText="1"/>
    </xf>
    <xf numFmtId="0" fontId="15" fillId="15" borderId="72" xfId="0" applyFont="1" applyFill="1" applyBorder="1" applyAlignment="1">
      <alignment horizontal="center" vertical="center" wrapText="1"/>
    </xf>
    <xf numFmtId="3" fontId="16" fillId="0" borderId="73" xfId="0" applyNumberFormat="1" applyFont="1" applyBorder="1" applyAlignment="1" applyProtection="1">
      <alignment horizontal="center" vertical="center" wrapText="1"/>
      <protection locked="0"/>
    </xf>
    <xf numFmtId="3" fontId="16" fillId="0" borderId="1" xfId="0" applyNumberFormat="1" applyFont="1" applyBorder="1" applyAlignment="1" applyProtection="1">
      <alignment horizontal="center" vertical="center" wrapText="1"/>
      <protection locked="0"/>
    </xf>
    <xf numFmtId="3" fontId="16" fillId="0" borderId="2" xfId="0" applyNumberFormat="1" applyFont="1" applyBorder="1" applyAlignment="1" applyProtection="1">
      <alignment horizontal="center" vertical="center" wrapText="1"/>
      <protection locked="0"/>
    </xf>
    <xf numFmtId="3" fontId="16" fillId="0" borderId="3" xfId="0" applyNumberFormat="1" applyFont="1" applyBorder="1" applyAlignment="1" applyProtection="1">
      <alignment horizontal="center" vertical="center" wrapText="1"/>
      <protection locked="0"/>
    </xf>
    <xf numFmtId="3" fontId="16" fillId="0" borderId="7" xfId="0" applyNumberFormat="1" applyFont="1" applyBorder="1" applyAlignment="1" applyProtection="1">
      <alignment horizontal="center" vertical="center" wrapText="1"/>
      <protection locked="0"/>
    </xf>
    <xf numFmtId="3" fontId="16" fillId="0" borderId="8" xfId="0" applyNumberFormat="1" applyFont="1" applyBorder="1" applyAlignment="1" applyProtection="1">
      <alignment horizontal="center" vertical="center" wrapText="1"/>
      <protection locked="0"/>
    </xf>
    <xf numFmtId="3" fontId="14" fillId="0" borderId="9" xfId="0" applyNumberFormat="1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3" fontId="19" fillId="0" borderId="7" xfId="0" applyNumberFormat="1" applyFont="1" applyBorder="1" applyAlignment="1" applyProtection="1">
      <alignment horizontal="center" vertical="center" wrapText="1"/>
      <protection locked="0"/>
    </xf>
    <xf numFmtId="3" fontId="19" fillId="0" borderId="8" xfId="0" applyNumberFormat="1" applyFont="1" applyBorder="1" applyAlignment="1" applyProtection="1">
      <alignment horizontal="center" vertical="center" wrapText="1"/>
      <protection locked="0"/>
    </xf>
    <xf numFmtId="3" fontId="19" fillId="0" borderId="1" xfId="0" applyNumberFormat="1" applyFont="1" applyBorder="1" applyAlignment="1" applyProtection="1">
      <alignment horizontal="center" vertical="center" wrapText="1"/>
      <protection locked="0"/>
    </xf>
    <xf numFmtId="0" fontId="16" fillId="0" borderId="9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3" fontId="19" fillId="0" borderId="52" xfId="0" applyNumberFormat="1" applyFont="1" applyBorder="1" applyAlignment="1" applyProtection="1">
      <alignment horizontal="center" vertical="center" wrapText="1"/>
      <protection locked="0"/>
    </xf>
    <xf numFmtId="3" fontId="19" fillId="0" borderId="74" xfId="0" applyNumberFormat="1" applyFont="1" applyBorder="1" applyAlignment="1" applyProtection="1">
      <alignment horizontal="center" vertical="center" wrapText="1"/>
      <protection locked="0"/>
    </xf>
    <xf numFmtId="3" fontId="19" fillId="3" borderId="66" xfId="0" applyNumberFormat="1" applyFont="1" applyFill="1" applyBorder="1" applyAlignment="1" applyProtection="1">
      <alignment horizontal="center" vertical="center" wrapText="1"/>
      <protection locked="0"/>
    </xf>
    <xf numFmtId="3" fontId="19" fillId="0" borderId="2" xfId="0" applyNumberFormat="1" applyFont="1" applyBorder="1" applyAlignment="1" applyProtection="1">
      <alignment horizontal="center" vertical="center" wrapText="1"/>
      <protection locked="0"/>
    </xf>
    <xf numFmtId="3" fontId="19" fillId="0" borderId="3" xfId="0" applyNumberFormat="1" applyFont="1" applyBorder="1" applyAlignment="1" applyProtection="1">
      <alignment horizontal="center" vertical="center" wrapText="1"/>
      <protection locked="0"/>
    </xf>
    <xf numFmtId="0" fontId="19" fillId="10" borderId="27" xfId="0" applyFont="1" applyFill="1" applyBorder="1" applyAlignment="1">
      <alignment horizontal="center" vertical="center"/>
    </xf>
    <xf numFmtId="0" fontId="19" fillId="10" borderId="50" xfId="0" applyFon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center" wrapText="1"/>
    </xf>
    <xf numFmtId="3" fontId="14" fillId="0" borderId="8" xfId="0" applyNumberFormat="1" applyFont="1" applyBorder="1" applyAlignment="1">
      <alignment horizontal="center" vertical="center" wrapText="1"/>
    </xf>
    <xf numFmtId="3" fontId="16" fillId="10" borderId="49" xfId="0" applyNumberFormat="1" applyFont="1" applyFill="1" applyBorder="1" applyAlignment="1" applyProtection="1">
      <alignment horizontal="center" vertical="center" wrapText="1"/>
      <protection locked="0"/>
    </xf>
    <xf numFmtId="3" fontId="16" fillId="10" borderId="61" xfId="0" applyNumberFormat="1" applyFont="1" applyFill="1" applyBorder="1" applyAlignment="1" applyProtection="1">
      <alignment horizontal="center" vertical="center" wrapText="1"/>
      <protection locked="0"/>
    </xf>
    <xf numFmtId="3" fontId="19" fillId="0" borderId="46" xfId="0" applyNumberFormat="1" applyFont="1" applyBorder="1" applyAlignment="1" applyProtection="1">
      <alignment horizontal="center" vertical="center" wrapText="1"/>
      <protection locked="0"/>
    </xf>
    <xf numFmtId="3" fontId="19" fillId="0" borderId="73" xfId="0" applyNumberFormat="1" applyFont="1" applyBorder="1" applyAlignment="1" applyProtection="1">
      <alignment horizontal="center" vertical="center" wrapText="1"/>
      <protection locked="0"/>
    </xf>
    <xf numFmtId="0" fontId="19" fillId="0" borderId="7" xfId="0" applyFont="1" applyBorder="1" applyAlignment="1">
      <alignment horizontal="center" vertical="center"/>
    </xf>
    <xf numFmtId="3" fontId="16" fillId="0" borderId="46" xfId="0" applyNumberFormat="1" applyFont="1" applyBorder="1" applyAlignment="1" applyProtection="1">
      <alignment horizontal="center" vertical="center" wrapText="1"/>
      <protection locked="0"/>
    </xf>
    <xf numFmtId="3" fontId="14" fillId="0" borderId="46" xfId="0" applyNumberFormat="1" applyFont="1" applyBorder="1" applyAlignment="1">
      <alignment horizontal="center" vertical="center" wrapText="1"/>
    </xf>
    <xf numFmtId="3" fontId="14" fillId="0" borderId="73" xfId="0" applyNumberFormat="1" applyFont="1" applyBorder="1" applyAlignment="1">
      <alignment horizontal="center" vertical="center" wrapText="1"/>
    </xf>
    <xf numFmtId="3" fontId="16" fillId="0" borderId="52" xfId="0" applyNumberFormat="1" applyFont="1" applyBorder="1" applyAlignment="1" applyProtection="1">
      <alignment horizontal="center" vertical="center" wrapText="1"/>
      <protection locked="0"/>
    </xf>
    <xf numFmtId="3" fontId="16" fillId="0" borderId="74" xfId="0" applyNumberFormat="1" applyFont="1" applyBorder="1" applyAlignment="1" applyProtection="1">
      <alignment horizontal="center" vertical="center" wrapText="1"/>
      <protection locked="0"/>
    </xf>
    <xf numFmtId="3" fontId="16" fillId="10" borderId="27" xfId="0" applyNumberFormat="1" applyFont="1" applyFill="1" applyBorder="1" applyAlignment="1" applyProtection="1">
      <alignment horizontal="center" vertical="center" wrapText="1"/>
      <protection locked="0"/>
    </xf>
    <xf numFmtId="3" fontId="16" fillId="10" borderId="50" xfId="0" applyNumberFormat="1" applyFont="1" applyFill="1" applyBorder="1" applyAlignment="1" applyProtection="1">
      <alignment horizontal="center" vertical="center" wrapText="1"/>
      <protection locked="0"/>
    </xf>
    <xf numFmtId="3" fontId="16" fillId="14" borderId="66" xfId="0" applyNumberFormat="1" applyFont="1" applyFill="1" applyBorder="1" applyAlignment="1" applyProtection="1">
      <alignment horizontal="center" vertical="center" wrapText="1"/>
      <protection locked="0"/>
    </xf>
    <xf numFmtId="3" fontId="16" fillId="14" borderId="1" xfId="0" applyNumberFormat="1" applyFont="1" applyFill="1" applyBorder="1" applyAlignment="1" applyProtection="1">
      <alignment horizontal="center" vertical="center" wrapText="1"/>
      <protection locked="0"/>
    </xf>
    <xf numFmtId="3" fontId="16" fillId="0" borderId="66" xfId="0" applyNumberFormat="1" applyFont="1" applyBorder="1" applyAlignment="1" applyProtection="1">
      <alignment horizontal="center" vertical="center" wrapText="1"/>
      <protection locked="0"/>
    </xf>
    <xf numFmtId="0" fontId="16" fillId="0" borderId="7" xfId="0" applyFont="1" applyBorder="1" applyAlignment="1">
      <alignment horizontal="center" vertical="center"/>
    </xf>
    <xf numFmtId="3" fontId="16" fillId="0" borderId="27" xfId="0" applyNumberFormat="1" applyFont="1" applyBorder="1" applyAlignment="1" applyProtection="1">
      <alignment horizontal="center" vertical="center" wrapText="1"/>
      <protection locked="0"/>
    </xf>
    <xf numFmtId="3" fontId="16" fillId="0" borderId="55" xfId="0" applyNumberFormat="1" applyFont="1" applyBorder="1" applyAlignment="1" applyProtection="1">
      <alignment horizontal="center" vertical="center" wrapText="1"/>
      <protection locked="0"/>
    </xf>
    <xf numFmtId="3" fontId="16" fillId="10" borderId="14" xfId="0" applyNumberFormat="1" applyFont="1" applyFill="1" applyBorder="1" applyAlignment="1" applyProtection="1">
      <alignment horizontal="center" vertical="center" wrapText="1"/>
      <protection locked="0"/>
    </xf>
    <xf numFmtId="3" fontId="16" fillId="10" borderId="58" xfId="0" applyNumberFormat="1" applyFont="1" applyFill="1" applyBorder="1" applyAlignment="1" applyProtection="1">
      <alignment horizontal="center" vertical="center" wrapText="1"/>
      <protection locked="0"/>
    </xf>
    <xf numFmtId="3" fontId="16" fillId="10" borderId="55" xfId="0" applyNumberFormat="1" applyFont="1" applyFill="1" applyBorder="1" applyAlignment="1" applyProtection="1">
      <alignment horizontal="center" vertical="center" wrapText="1"/>
      <protection locked="0"/>
    </xf>
    <xf numFmtId="3" fontId="16" fillId="10" borderId="15" xfId="0" applyNumberFormat="1" applyFont="1" applyFill="1" applyBorder="1" applyAlignment="1" applyProtection="1">
      <alignment horizontal="center" vertical="center" wrapText="1"/>
      <protection locked="0"/>
    </xf>
    <xf numFmtId="3" fontId="16" fillId="10" borderId="75" xfId="0" applyNumberFormat="1" applyFont="1" applyFill="1" applyBorder="1" applyAlignment="1" applyProtection="1">
      <alignment horizontal="center" vertical="center" wrapText="1"/>
      <protection locked="0"/>
    </xf>
    <xf numFmtId="0" fontId="19" fillId="12" borderId="7" xfId="0" applyFont="1" applyFill="1" applyBorder="1" applyAlignment="1">
      <alignment horizontal="center" vertical="center"/>
    </xf>
    <xf numFmtId="0" fontId="19" fillId="12" borderId="8" xfId="0" applyFont="1" applyFill="1" applyBorder="1" applyAlignment="1">
      <alignment horizontal="center" vertical="center"/>
    </xf>
    <xf numFmtId="3" fontId="19" fillId="12" borderId="9" xfId="0" applyNumberFormat="1" applyFont="1" applyFill="1" applyBorder="1" applyAlignment="1" applyProtection="1">
      <alignment horizontal="center" vertical="center" wrapText="1"/>
      <protection locked="0"/>
    </xf>
    <xf numFmtId="3" fontId="19" fillId="12" borderId="1" xfId="0" applyNumberFormat="1" applyFont="1" applyFill="1" applyBorder="1" applyAlignment="1" applyProtection="1">
      <alignment horizontal="center" vertical="center" wrapText="1"/>
      <protection locked="0"/>
    </xf>
    <xf numFmtId="3" fontId="16" fillId="12" borderId="9" xfId="0" applyNumberFormat="1" applyFont="1" applyFill="1" applyBorder="1" applyAlignment="1" applyProtection="1">
      <alignment horizontal="center" vertical="center" wrapText="1"/>
      <protection locked="0"/>
    </xf>
    <xf numFmtId="3" fontId="16" fillId="12" borderId="1" xfId="0" applyNumberFormat="1" applyFont="1" applyFill="1" applyBorder="1" applyAlignment="1" applyProtection="1">
      <alignment horizontal="center" vertical="center" wrapText="1"/>
      <protection locked="0"/>
    </xf>
    <xf numFmtId="3" fontId="16" fillId="12" borderId="2" xfId="0" applyNumberFormat="1" applyFont="1" applyFill="1" applyBorder="1" applyAlignment="1" applyProtection="1">
      <alignment horizontal="center" vertical="center" wrapText="1"/>
      <protection locked="0"/>
    </xf>
    <xf numFmtId="3" fontId="16" fillId="12" borderId="3" xfId="0" applyNumberFormat="1" applyFont="1" applyFill="1" applyBorder="1" applyAlignment="1" applyProtection="1">
      <alignment horizontal="center" vertical="center" wrapText="1"/>
      <protection locked="0"/>
    </xf>
    <xf numFmtId="3" fontId="16" fillId="0" borderId="14" xfId="0" applyNumberFormat="1" applyFont="1" applyBorder="1" applyAlignment="1" applyProtection="1">
      <alignment horizontal="center" vertical="center" wrapText="1"/>
      <protection locked="0"/>
    </xf>
    <xf numFmtId="3" fontId="16" fillId="0" borderId="76" xfId="0" applyNumberFormat="1" applyFont="1" applyBorder="1" applyAlignment="1" applyProtection="1">
      <alignment horizontal="center" vertical="center" wrapText="1"/>
      <protection locked="0"/>
    </xf>
    <xf numFmtId="3" fontId="16" fillId="0" borderId="15" xfId="0" applyNumberFormat="1" applyFont="1" applyBorder="1" applyAlignment="1" applyProtection="1">
      <alignment horizontal="center" vertical="center" wrapText="1"/>
      <protection locked="0"/>
    </xf>
    <xf numFmtId="3" fontId="16" fillId="0" borderId="75" xfId="0" applyNumberFormat="1" applyFont="1" applyBorder="1" applyAlignment="1" applyProtection="1">
      <alignment horizontal="center" vertical="center" wrapText="1"/>
      <protection locked="0"/>
    </xf>
    <xf numFmtId="3" fontId="16" fillId="12" borderId="14" xfId="0" applyNumberFormat="1" applyFont="1" applyFill="1" applyBorder="1" applyAlignment="1" applyProtection="1">
      <alignment horizontal="center" vertical="center" wrapText="1"/>
      <protection locked="0"/>
    </xf>
    <xf numFmtId="3" fontId="16" fillId="12" borderId="76" xfId="0" applyNumberFormat="1" applyFont="1" applyFill="1" applyBorder="1" applyAlignment="1" applyProtection="1">
      <alignment horizontal="center" vertical="center" wrapText="1"/>
      <protection locked="0"/>
    </xf>
    <xf numFmtId="3" fontId="16" fillId="3" borderId="9" xfId="0" applyNumberFormat="1" applyFont="1" applyFill="1" applyBorder="1" applyAlignment="1" applyProtection="1">
      <alignment horizontal="center" vertical="center" wrapText="1"/>
      <protection locked="0"/>
    </xf>
    <xf numFmtId="10" fontId="3" fillId="0" borderId="0" xfId="0" applyNumberFormat="1" applyFont="1" applyAlignment="1">
      <alignment wrapText="1"/>
    </xf>
    <xf numFmtId="3" fontId="3" fillId="0" borderId="0" xfId="0" applyNumberFormat="1" applyFont="1"/>
    <xf numFmtId="0" fontId="30" fillId="17" borderId="22" xfId="0" applyFont="1" applyFill="1" applyBorder="1" applyAlignment="1">
      <alignment horizontal="center" vertical="center" wrapText="1"/>
    </xf>
    <xf numFmtId="49" fontId="13" fillId="0" borderId="0" xfId="0" applyNumberFormat="1" applyFont="1" applyAlignment="1">
      <alignment horizontal="left" vertical="center"/>
    </xf>
    <xf numFmtId="3" fontId="14" fillId="11" borderId="19" xfId="0" applyNumberFormat="1" applyFont="1" applyFill="1" applyBorder="1" applyAlignment="1">
      <alignment horizontal="left" vertical="top" wrapText="1"/>
    </xf>
    <xf numFmtId="171" fontId="35" fillId="4" borderId="41" xfId="0" applyNumberFormat="1" applyFont="1" applyFill="1" applyBorder="1" applyAlignment="1">
      <alignment horizontal="left" vertical="center"/>
    </xf>
    <xf numFmtId="0" fontId="35" fillId="4" borderId="41" xfId="0" applyFont="1" applyFill="1" applyBorder="1" applyAlignment="1">
      <alignment horizontal="left" vertical="center"/>
    </xf>
    <xf numFmtId="174" fontId="35" fillId="4" borderId="10" xfId="1" applyNumberFormat="1" applyFont="1" applyFill="1" applyBorder="1" applyAlignment="1">
      <alignment horizontal="left" vertical="center"/>
    </xf>
    <xf numFmtId="171" fontId="8" fillId="3" borderId="5" xfId="0" applyNumberFormat="1" applyFont="1" applyFill="1" applyBorder="1" applyAlignment="1">
      <alignment horizontal="left" vertical="center" wrapText="1"/>
    </xf>
    <xf numFmtId="0" fontId="33" fillId="0" borderId="5" xfId="0" applyFont="1" applyBorder="1" applyAlignment="1" applyProtection="1">
      <alignment horizontal="left" vertical="center"/>
      <protection locked="0"/>
    </xf>
    <xf numFmtId="174" fontId="8" fillId="3" borderId="5" xfId="0" applyNumberFormat="1" applyFont="1" applyFill="1" applyBorder="1" applyAlignment="1">
      <alignment horizontal="right" vertical="center" wrapText="1"/>
    </xf>
    <xf numFmtId="170" fontId="8" fillId="3" borderId="48" xfId="0" applyNumberFormat="1" applyFont="1" applyFill="1" applyBorder="1" applyAlignment="1">
      <alignment horizontal="left" vertical="center" wrapText="1"/>
    </xf>
    <xf numFmtId="171" fontId="8" fillId="3" borderId="5" xfId="0" applyNumberFormat="1" applyFont="1" applyFill="1" applyBorder="1" applyAlignment="1">
      <alignment horizontal="left" vertical="center"/>
    </xf>
    <xf numFmtId="171" fontId="33" fillId="0" borderId="5" xfId="0" applyNumberFormat="1" applyFont="1" applyBorder="1" applyAlignment="1" applyProtection="1">
      <alignment horizontal="left" vertical="center"/>
      <protection locked="0"/>
    </xf>
    <xf numFmtId="1" fontId="36" fillId="0" borderId="5" xfId="0" applyNumberFormat="1" applyFont="1" applyBorder="1" applyAlignment="1" applyProtection="1">
      <alignment horizontal="left" vertical="center"/>
      <protection locked="0"/>
    </xf>
    <xf numFmtId="170" fontId="36" fillId="0" borderId="5" xfId="0" applyNumberFormat="1" applyFont="1" applyBorder="1" applyAlignment="1" applyProtection="1">
      <alignment horizontal="left" vertical="center" wrapText="1"/>
      <protection locked="0"/>
    </xf>
    <xf numFmtId="0" fontId="33" fillId="0" borderId="0" xfId="0" applyFont="1" applyAlignment="1">
      <alignment vertical="center"/>
    </xf>
    <xf numFmtId="0" fontId="33" fillId="0" borderId="0" xfId="0" applyFont="1" applyAlignment="1">
      <alignment horizontal="left" vertical="center"/>
    </xf>
    <xf numFmtId="3" fontId="33" fillId="0" borderId="5" xfId="0" applyNumberFormat="1" applyFont="1" applyBorder="1" applyAlignment="1" applyProtection="1">
      <alignment horizontal="left" vertical="center"/>
      <protection locked="0"/>
    </xf>
    <xf numFmtId="171" fontId="33" fillId="0" borderId="0" xfId="0" applyNumberFormat="1" applyFont="1" applyAlignment="1">
      <alignment horizontal="left" vertical="center"/>
    </xf>
    <xf numFmtId="167" fontId="33" fillId="0" borderId="0" xfId="0" applyNumberFormat="1" applyFont="1" applyAlignment="1">
      <alignment vertical="center"/>
    </xf>
    <xf numFmtId="170" fontId="33" fillId="0" borderId="0" xfId="0" applyNumberFormat="1" applyFont="1" applyAlignment="1">
      <alignment vertical="center"/>
    </xf>
    <xf numFmtId="1" fontId="33" fillId="0" borderId="0" xfId="0" applyNumberFormat="1" applyFont="1" applyAlignment="1">
      <alignment vertical="center"/>
    </xf>
    <xf numFmtId="167" fontId="37" fillId="0" borderId="0" xfId="0" applyNumberFormat="1" applyFont="1" applyAlignment="1">
      <alignment vertical="center"/>
    </xf>
    <xf numFmtId="0" fontId="35" fillId="4" borderId="41" xfId="0" applyFont="1" applyFill="1" applyBorder="1" applyAlignment="1">
      <alignment vertical="center"/>
    </xf>
    <xf numFmtId="0" fontId="35" fillId="4" borderId="10" xfId="0" applyFont="1" applyFill="1" applyBorder="1" applyAlignment="1">
      <alignment vertical="center"/>
    </xf>
    <xf numFmtId="175" fontId="34" fillId="0" borderId="0" xfId="1" applyNumberFormat="1" applyFont="1" applyAlignment="1">
      <alignment horizontal="left" vertical="center"/>
    </xf>
    <xf numFmtId="174" fontId="34" fillId="0" borderId="0" xfId="1" applyNumberFormat="1" applyFont="1" applyAlignment="1">
      <alignment horizontal="right" vertical="center"/>
    </xf>
    <xf numFmtId="0" fontId="33" fillId="0" borderId="0" xfId="0" applyFont="1" applyAlignment="1">
      <alignment horizontal="right" vertical="center"/>
    </xf>
    <xf numFmtId="174" fontId="33" fillId="0" borderId="5" xfId="1" applyNumberFormat="1" applyFont="1" applyBorder="1" applyAlignment="1">
      <alignment horizontal="right" vertical="center"/>
    </xf>
    <xf numFmtId="174" fontId="33" fillId="0" borderId="0" xfId="1" applyNumberFormat="1" applyFont="1" applyAlignment="1">
      <alignment horizontal="right" vertical="center"/>
    </xf>
    <xf numFmtId="0" fontId="36" fillId="0" borderId="5" xfId="0" applyFont="1" applyBorder="1" applyAlignment="1" applyProtection="1">
      <alignment horizontal="left" vertical="center"/>
      <protection locked="0"/>
    </xf>
    <xf numFmtId="171" fontId="33" fillId="0" borderId="0" xfId="0" applyNumberFormat="1" applyFont="1" applyAlignment="1">
      <alignment horizontal="right" vertical="center"/>
    </xf>
    <xf numFmtId="1" fontId="33" fillId="0" borderId="0" xfId="0" applyNumberFormat="1" applyFont="1" applyAlignment="1">
      <alignment horizontal="left" vertical="center"/>
    </xf>
    <xf numFmtId="1" fontId="35" fillId="4" borderId="41" xfId="0" applyNumberFormat="1" applyFont="1" applyFill="1" applyBorder="1" applyAlignment="1">
      <alignment horizontal="left" vertical="center"/>
    </xf>
    <xf numFmtId="171" fontId="35" fillId="4" borderId="10" xfId="0" applyNumberFormat="1" applyFont="1" applyFill="1" applyBorder="1" applyAlignment="1">
      <alignment horizontal="left" vertical="center"/>
    </xf>
    <xf numFmtId="171" fontId="34" fillId="0" borderId="0" xfId="1" applyNumberFormat="1" applyFont="1" applyAlignment="1">
      <alignment horizontal="right" vertical="center"/>
    </xf>
    <xf numFmtId="171" fontId="33" fillId="0" borderId="5" xfId="0" applyNumberFormat="1" applyFont="1" applyBorder="1" applyAlignment="1" applyProtection="1">
      <alignment horizontal="right" vertical="center"/>
      <protection locked="0"/>
    </xf>
    <xf numFmtId="0" fontId="38" fillId="9" borderId="18" xfId="0" applyFont="1" applyFill="1" applyBorder="1" applyAlignment="1" applyProtection="1">
      <alignment vertical="center"/>
      <protection locked="0"/>
    </xf>
    <xf numFmtId="0" fontId="38" fillId="7" borderId="5" xfId="0" applyFont="1" applyFill="1" applyBorder="1" applyAlignment="1">
      <alignment horizontal="left" vertical="center"/>
    </xf>
    <xf numFmtId="0" fontId="40" fillId="3" borderId="5" xfId="0" applyFont="1" applyFill="1" applyBorder="1" applyAlignment="1" applyProtection="1">
      <alignment horizontal="left" vertical="center"/>
      <protection locked="0"/>
    </xf>
    <xf numFmtId="0" fontId="39" fillId="0" borderId="5" xfId="0" applyFont="1" applyBorder="1" applyAlignment="1">
      <alignment horizontal="left" vertical="center"/>
    </xf>
    <xf numFmtId="0" fontId="40" fillId="0" borderId="5" xfId="0" applyFont="1" applyBorder="1"/>
    <xf numFmtId="0" fontId="39" fillId="0" borderId="5" xfId="0" applyFont="1" applyBorder="1" applyAlignment="1" applyProtection="1">
      <alignment horizontal="left" vertical="center"/>
      <protection locked="0"/>
    </xf>
    <xf numFmtId="0" fontId="40" fillId="0" borderId="5" xfId="0" applyFont="1" applyBorder="1" applyAlignment="1">
      <alignment horizontal="left" vertical="center"/>
    </xf>
    <xf numFmtId="0" fontId="39" fillId="3" borderId="5" xfId="0" applyFont="1" applyFill="1" applyBorder="1" applyAlignment="1" applyProtection="1">
      <alignment horizontal="left" vertical="center"/>
      <protection locked="0"/>
    </xf>
    <xf numFmtId="0" fontId="39" fillId="3" borderId="5" xfId="0" applyFont="1" applyFill="1" applyBorder="1" applyAlignment="1">
      <alignment horizontal="left" vertical="center"/>
    </xf>
    <xf numFmtId="0" fontId="40" fillId="0" borderId="5" xfId="0" applyFont="1" applyBorder="1" applyAlignment="1" applyProtection="1">
      <alignment horizontal="left" vertical="center"/>
      <protection locked="0"/>
    </xf>
    <xf numFmtId="0" fontId="39" fillId="0" borderId="0" xfId="0" applyFont="1" applyAlignment="1">
      <alignment horizontal="center" vertical="center"/>
    </xf>
    <xf numFmtId="0" fontId="38" fillId="9" borderId="18" xfId="0" applyFont="1" applyFill="1" applyBorder="1" applyAlignment="1" applyProtection="1">
      <alignment vertical="center" wrapText="1"/>
      <protection locked="0"/>
    </xf>
    <xf numFmtId="0" fontId="38" fillId="7" borderId="5" xfId="0" applyFont="1" applyFill="1" applyBorder="1" applyAlignment="1">
      <alignment horizontal="left" vertical="center" wrapText="1"/>
    </xf>
    <xf numFmtId="0" fontId="39" fillId="0" borderId="5" xfId="0" applyFont="1" applyBorder="1" applyAlignment="1">
      <alignment vertical="center" wrapText="1"/>
    </xf>
    <xf numFmtId="0" fontId="40" fillId="3" borderId="5" xfId="0" applyFont="1" applyFill="1" applyBorder="1" applyAlignment="1" applyProtection="1">
      <alignment horizontal="left" vertical="center" wrapText="1"/>
      <protection locked="0"/>
    </xf>
    <xf numFmtId="0" fontId="39" fillId="0" borderId="5" xfId="0" applyFont="1" applyBorder="1" applyAlignment="1">
      <alignment horizontal="left" vertical="center" wrapText="1"/>
    </xf>
    <xf numFmtId="0" fontId="39" fillId="0" borderId="5" xfId="0" applyFont="1" applyBorder="1" applyAlignment="1">
      <alignment wrapText="1"/>
    </xf>
    <xf numFmtId="0" fontId="40" fillId="0" borderId="5" xfId="0" applyFont="1" applyBorder="1" applyAlignment="1">
      <alignment wrapText="1"/>
    </xf>
    <xf numFmtId="0" fontId="39" fillId="0" borderId="5" xfId="0" applyFont="1" applyBorder="1" applyAlignment="1" applyProtection="1">
      <alignment horizontal="left" vertical="center" wrapText="1"/>
      <protection locked="0"/>
    </xf>
    <xf numFmtId="0" fontId="40" fillId="0" borderId="5" xfId="0" applyFont="1" applyBorder="1" applyAlignment="1">
      <alignment horizontal="left" vertical="center" wrapText="1"/>
    </xf>
    <xf numFmtId="0" fontId="39" fillId="3" borderId="5" xfId="0" applyFont="1" applyFill="1" applyBorder="1" applyAlignment="1" applyProtection="1">
      <alignment horizontal="left" vertical="center" wrapText="1"/>
      <protection locked="0"/>
    </xf>
    <xf numFmtId="0" fontId="39" fillId="3" borderId="5" xfId="0" applyFont="1" applyFill="1" applyBorder="1" applyAlignment="1">
      <alignment horizontal="left" vertical="center" wrapText="1"/>
    </xf>
    <xf numFmtId="49" fontId="39" fillId="0" borderId="5" xfId="0" applyNumberFormat="1" applyFont="1" applyBorder="1" applyAlignment="1" applyProtection="1">
      <alignment horizontal="left" vertical="center" wrapText="1"/>
      <protection locked="0"/>
    </xf>
    <xf numFmtId="0" fontId="40" fillId="0" borderId="5" xfId="0" applyFont="1" applyBorder="1" applyAlignment="1" applyProtection="1">
      <alignment horizontal="left" vertical="center" wrapText="1"/>
      <protection locked="0"/>
    </xf>
    <xf numFmtId="0" fontId="40" fillId="0" borderId="5" xfId="0" applyFont="1" applyBorder="1" applyAlignment="1">
      <alignment vertical="center" wrapText="1"/>
    </xf>
    <xf numFmtId="0" fontId="39" fillId="0" borderId="0" xfId="0" applyFont="1" applyAlignment="1">
      <alignment vertical="center" wrapText="1"/>
    </xf>
    <xf numFmtId="0" fontId="39" fillId="0" borderId="0" xfId="0" applyFont="1" applyAlignment="1">
      <alignment horizontal="center" vertical="center" wrapText="1"/>
    </xf>
    <xf numFmtId="172" fontId="12" fillId="19" borderId="78" xfId="0" applyNumberFormat="1" applyFont="1" applyFill="1" applyBorder="1" applyAlignment="1">
      <alignment horizontal="center" vertical="center" wrapText="1"/>
    </xf>
    <xf numFmtId="0" fontId="12" fillId="19" borderId="78" xfId="0" applyFont="1" applyFill="1" applyBorder="1" applyAlignment="1">
      <alignment horizontal="center" vertical="center" wrapText="1"/>
    </xf>
    <xf numFmtId="0" fontId="12" fillId="21" borderId="79" xfId="0" applyFont="1" applyFill="1" applyBorder="1" applyAlignment="1">
      <alignment horizontal="center" vertical="center" wrapText="1"/>
    </xf>
    <xf numFmtId="174" fontId="12" fillId="21" borderId="79" xfId="0" applyNumberFormat="1" applyFont="1" applyFill="1" applyBorder="1" applyAlignment="1">
      <alignment horizontal="center" vertical="center" wrapText="1"/>
    </xf>
    <xf numFmtId="0" fontId="12" fillId="19" borderId="79" xfId="0" applyFont="1" applyFill="1" applyBorder="1" applyAlignment="1">
      <alignment horizontal="center" vertical="center" wrapText="1"/>
    </xf>
    <xf numFmtId="0" fontId="12" fillId="18" borderId="79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9" fontId="10" fillId="0" borderId="0" xfId="2" applyFont="1" applyFill="1" applyBorder="1" applyAlignment="1" applyProtection="1">
      <alignment horizontal="center" vertical="center"/>
      <protection locked="0"/>
    </xf>
    <xf numFmtId="169" fontId="10" fillId="0" borderId="0" xfId="3" applyNumberFormat="1" applyFont="1" applyFill="1" applyBorder="1" applyAlignment="1" applyProtection="1">
      <alignment horizontal="center" vertical="center"/>
      <protection locked="0"/>
    </xf>
    <xf numFmtId="164" fontId="29" fillId="0" borderId="0" xfId="1" applyFont="1" applyFill="1" applyBorder="1" applyAlignment="1" applyProtection="1">
      <alignment horizontal="center" vertical="center"/>
      <protection locked="0"/>
    </xf>
    <xf numFmtId="164" fontId="29" fillId="0" borderId="0" xfId="1" applyFont="1" applyFill="1" applyBorder="1" applyAlignment="1" applyProtection="1">
      <alignment horizontal="left" vertical="top" wrapText="1"/>
      <protection locked="0"/>
    </xf>
    <xf numFmtId="174" fontId="10" fillId="0" borderId="5" xfId="1" applyNumberFormat="1" applyFont="1" applyFill="1" applyBorder="1" applyAlignment="1" applyProtection="1">
      <alignment horizontal="center" vertical="center"/>
      <protection locked="0"/>
    </xf>
    <xf numFmtId="174" fontId="10" fillId="0" borderId="41" xfId="1" applyNumberFormat="1" applyFont="1" applyFill="1" applyBorder="1" applyAlignment="1" applyProtection="1">
      <alignment horizontal="center" vertical="center"/>
      <protection locked="0"/>
    </xf>
    <xf numFmtId="174" fontId="10" fillId="0" borderId="0" xfId="1" applyNumberFormat="1" applyFont="1" applyFill="1" applyBorder="1" applyAlignment="1" applyProtection="1">
      <alignment horizontal="center" vertical="center"/>
      <protection locked="0"/>
    </xf>
    <xf numFmtId="172" fontId="12" fillId="19" borderId="49" xfId="0" applyNumberFormat="1" applyFont="1" applyFill="1" applyBorder="1" applyAlignment="1" applyProtection="1">
      <alignment horizontal="left" vertical="top" wrapText="1"/>
      <protection locked="0"/>
    </xf>
    <xf numFmtId="0" fontId="12" fillId="19" borderId="49" xfId="0" applyFont="1" applyFill="1" applyBorder="1" applyAlignment="1" applyProtection="1">
      <alignment horizontal="left" vertical="top" wrapText="1"/>
      <protection locked="0"/>
    </xf>
    <xf numFmtId="0" fontId="12" fillId="21" borderId="10" xfId="0" applyFont="1" applyFill="1" applyBorder="1" applyAlignment="1" applyProtection="1">
      <alignment horizontal="left" vertical="top" wrapText="1"/>
      <protection locked="0"/>
    </xf>
    <xf numFmtId="0" fontId="12" fillId="21" borderId="10" xfId="0" applyFont="1" applyFill="1" applyBorder="1" applyAlignment="1" applyProtection="1">
      <alignment vertical="top" wrapText="1"/>
      <protection locked="0"/>
    </xf>
    <xf numFmtId="174" fontId="12" fillId="21" borderId="10" xfId="0" applyNumberFormat="1" applyFont="1" applyFill="1" applyBorder="1" applyAlignment="1" applyProtection="1">
      <alignment horizontal="left" vertical="top" wrapText="1"/>
      <protection locked="0"/>
    </xf>
    <xf numFmtId="169" fontId="12" fillId="20" borderId="10" xfId="0" applyNumberFormat="1" applyFont="1" applyFill="1" applyBorder="1" applyAlignment="1" applyProtection="1">
      <alignment horizontal="left" vertical="top" wrapText="1"/>
      <protection locked="0"/>
    </xf>
    <xf numFmtId="0" fontId="12" fillId="18" borderId="10" xfId="0" applyFont="1" applyFill="1" applyBorder="1" applyAlignment="1" applyProtection="1">
      <alignment horizontal="left" vertical="top" wrapText="1"/>
      <protection locked="0"/>
    </xf>
    <xf numFmtId="0" fontId="13" fillId="0" borderId="0" xfId="0" applyFont="1" applyAlignment="1">
      <alignment horizontal="left" vertical="top" wrapText="1"/>
    </xf>
    <xf numFmtId="49" fontId="10" fillId="0" borderId="5" xfId="0" applyNumberFormat="1" applyFont="1" applyBorder="1" applyAlignment="1" applyProtection="1">
      <alignment vertical="center"/>
      <protection locked="0"/>
    </xf>
    <xf numFmtId="49" fontId="10" fillId="0" borderId="5" xfId="0" applyNumberFormat="1" applyFont="1" applyBorder="1" applyAlignment="1">
      <alignment horizontal="left" vertical="center" wrapText="1"/>
    </xf>
    <xf numFmtId="49" fontId="10" fillId="0" borderId="5" xfId="1" applyNumberFormat="1" applyFont="1" applyFill="1" applyBorder="1" applyAlignment="1" applyProtection="1">
      <alignment horizontal="left" vertical="top" wrapText="1"/>
      <protection locked="0"/>
    </xf>
    <xf numFmtId="49" fontId="10" fillId="0" borderId="5" xfId="3" applyNumberFormat="1" applyFont="1" applyFill="1" applyBorder="1" applyAlignment="1" applyProtection="1">
      <alignment horizontal="left" vertical="top" wrapText="1"/>
      <protection locked="0"/>
    </xf>
    <xf numFmtId="49" fontId="10" fillId="0" borderId="41" xfId="0" applyNumberFormat="1" applyFont="1" applyBorder="1" applyAlignment="1">
      <alignment horizontal="left" vertical="center" wrapText="1"/>
    </xf>
    <xf numFmtId="0" fontId="10" fillId="0" borderId="5" xfId="0" applyFont="1" applyBorder="1" applyAlignment="1" applyProtection="1">
      <alignment horizontal="left" vertical="center"/>
      <protection locked="0"/>
    </xf>
    <xf numFmtId="172" fontId="10" fillId="0" borderId="41" xfId="3" applyNumberFormat="1" applyFont="1" applyFill="1" applyBorder="1" applyAlignment="1" applyProtection="1">
      <alignment horizontal="center" vertical="center"/>
      <protection locked="0"/>
    </xf>
    <xf numFmtId="3" fontId="25" fillId="24" borderId="5" xfId="0" applyNumberFormat="1" applyFont="1" applyFill="1" applyBorder="1" applyAlignment="1">
      <alignment horizontal="right" vertical="center"/>
    </xf>
    <xf numFmtId="3" fontId="25" fillId="24" borderId="4" xfId="0" applyNumberFormat="1" applyFont="1" applyFill="1" applyBorder="1" applyAlignment="1">
      <alignment horizontal="right" vertical="center"/>
    </xf>
    <xf numFmtId="167" fontId="6" fillId="27" borderId="5" xfId="1" applyNumberFormat="1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167" fontId="6" fillId="27" borderId="48" xfId="1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7" fontId="6" fillId="27" borderId="9" xfId="1" applyNumberFormat="1" applyFont="1" applyFill="1" applyBorder="1" applyAlignment="1">
      <alignment horizontal="center" vertical="center"/>
    </xf>
    <xf numFmtId="167" fontId="6" fillId="25" borderId="9" xfId="1" applyNumberFormat="1" applyFont="1" applyFill="1" applyBorder="1" applyAlignment="1">
      <alignment horizontal="center" vertical="center"/>
    </xf>
    <xf numFmtId="167" fontId="6" fillId="25" borderId="2" xfId="1" applyNumberFormat="1" applyFont="1" applyFill="1" applyBorder="1" applyAlignment="1">
      <alignment horizontal="center" vertical="center"/>
    </xf>
    <xf numFmtId="167" fontId="6" fillId="26" borderId="7" xfId="1" applyNumberFormat="1" applyFont="1" applyFill="1" applyBorder="1" applyAlignment="1">
      <alignment vertical="center"/>
    </xf>
    <xf numFmtId="9" fontId="6" fillId="26" borderId="8" xfId="2" applyFont="1" applyFill="1" applyBorder="1" applyAlignment="1">
      <alignment horizontal="center" vertical="center"/>
    </xf>
    <xf numFmtId="167" fontId="6" fillId="26" borderId="9" xfId="1" applyNumberFormat="1" applyFont="1" applyFill="1" applyBorder="1" applyAlignment="1">
      <alignment vertical="center"/>
    </xf>
    <xf numFmtId="9" fontId="6" fillId="26" borderId="1" xfId="2" applyFont="1" applyFill="1" applyBorder="1" applyAlignment="1">
      <alignment horizontal="center" vertical="center"/>
    </xf>
    <xf numFmtId="168" fontId="6" fillId="26" borderId="1" xfId="2" applyNumberFormat="1" applyFont="1" applyFill="1" applyBorder="1" applyAlignment="1">
      <alignment horizontal="center" vertical="center"/>
    </xf>
    <xf numFmtId="167" fontId="6" fillId="22" borderId="9" xfId="1" applyNumberFormat="1" applyFont="1" applyFill="1" applyBorder="1" applyAlignment="1">
      <alignment vertical="center"/>
    </xf>
    <xf numFmtId="167" fontId="6" fillId="23" borderId="9" xfId="1" applyNumberFormat="1" applyFont="1" applyFill="1" applyBorder="1" applyAlignment="1">
      <alignment vertical="center"/>
    </xf>
    <xf numFmtId="9" fontId="6" fillId="23" borderId="1" xfId="2" applyFont="1" applyFill="1" applyBorder="1" applyAlignment="1">
      <alignment horizontal="center" vertical="center"/>
    </xf>
    <xf numFmtId="9" fontId="6" fillId="13" borderId="1" xfId="2" applyFont="1" applyFill="1" applyBorder="1" applyAlignment="1">
      <alignment horizontal="center" vertical="center"/>
    </xf>
    <xf numFmtId="167" fontId="6" fillId="26" borderId="6" xfId="1" applyNumberFormat="1" applyFont="1" applyFill="1" applyBorder="1" applyAlignment="1">
      <alignment vertical="center"/>
    </xf>
    <xf numFmtId="167" fontId="6" fillId="26" borderId="5" xfId="1" applyNumberFormat="1" applyFont="1" applyFill="1" applyBorder="1" applyAlignment="1">
      <alignment horizontal="right" vertical="center"/>
    </xf>
    <xf numFmtId="3" fontId="25" fillId="22" borderId="5" xfId="0" applyNumberFormat="1" applyFont="1" applyFill="1" applyBorder="1" applyAlignment="1">
      <alignment horizontal="right" vertical="center"/>
    </xf>
    <xf numFmtId="3" fontId="25" fillId="23" borderId="5" xfId="0" applyNumberFormat="1" applyFont="1" applyFill="1" applyBorder="1" applyAlignment="1">
      <alignment horizontal="right" vertical="center"/>
    </xf>
    <xf numFmtId="3" fontId="25" fillId="13" borderId="9" xfId="0" applyNumberFormat="1" applyFont="1" applyFill="1" applyBorder="1" applyAlignment="1">
      <alignment horizontal="right" vertical="center"/>
    </xf>
    <xf numFmtId="3" fontId="25" fillId="13" borderId="5" xfId="0" applyNumberFormat="1" applyFont="1" applyFill="1" applyBorder="1" applyAlignment="1">
      <alignment horizontal="right" vertical="center"/>
    </xf>
    <xf numFmtId="3" fontId="25" fillId="22" borderId="5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0" fontId="1" fillId="0" borderId="0" xfId="0" applyNumberFormat="1" applyFont="1" applyAlignment="1">
      <alignment horizontal="center"/>
    </xf>
    <xf numFmtId="10" fontId="26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9" fontId="1" fillId="0" borderId="0" xfId="2" applyFont="1" applyAlignment="1">
      <alignment horizontal="center"/>
    </xf>
    <xf numFmtId="3" fontId="1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167" fontId="6" fillId="26" borderId="11" xfId="1" applyNumberFormat="1" applyFont="1" applyFill="1" applyBorder="1" applyAlignment="1">
      <alignment vertical="center"/>
    </xf>
    <xf numFmtId="167" fontId="6" fillId="26" borderId="48" xfId="1" applyNumberFormat="1" applyFont="1" applyFill="1" applyBorder="1" applyAlignment="1">
      <alignment vertical="center"/>
    </xf>
    <xf numFmtId="0" fontId="41" fillId="26" borderId="68" xfId="0" applyFont="1" applyFill="1" applyBorder="1" applyAlignment="1">
      <alignment vertical="center" wrapText="1"/>
    </xf>
    <xf numFmtId="9" fontId="6" fillId="26" borderId="6" xfId="2" applyFont="1" applyFill="1" applyBorder="1" applyAlignment="1">
      <alignment horizontal="center" vertical="center"/>
    </xf>
    <xf numFmtId="9" fontId="6" fillId="26" borderId="5" xfId="2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1" fillId="26" borderId="66" xfId="0" applyFont="1" applyFill="1" applyBorder="1" applyAlignment="1">
      <alignment vertical="center" wrapText="1"/>
    </xf>
    <xf numFmtId="167" fontId="6" fillId="26" borderId="5" xfId="1" applyNumberFormat="1" applyFont="1" applyFill="1" applyBorder="1" applyAlignment="1">
      <alignment vertical="center"/>
    </xf>
    <xf numFmtId="168" fontId="6" fillId="26" borderId="5" xfId="2" applyNumberFormat="1" applyFont="1" applyFill="1" applyBorder="1" applyAlignment="1">
      <alignment horizontal="center" vertical="center"/>
    </xf>
    <xf numFmtId="167" fontId="6" fillId="0" borderId="0" xfId="1" applyNumberFormat="1" applyFont="1" applyAlignment="1">
      <alignment vertical="center"/>
    </xf>
    <xf numFmtId="0" fontId="41" fillId="22" borderId="66" xfId="0" applyFont="1" applyFill="1" applyBorder="1" applyAlignment="1">
      <alignment vertical="center" wrapText="1"/>
    </xf>
    <xf numFmtId="0" fontId="41" fillId="23" borderId="66" xfId="0" applyFont="1" applyFill="1" applyBorder="1" applyAlignment="1">
      <alignment vertical="center" wrapText="1"/>
    </xf>
    <xf numFmtId="0" fontId="41" fillId="13" borderId="66" xfId="0" applyFont="1" applyFill="1" applyBorder="1" applyAlignment="1">
      <alignment vertical="center" wrapText="1"/>
    </xf>
    <xf numFmtId="0" fontId="41" fillId="24" borderId="66" xfId="0" applyFont="1" applyFill="1" applyBorder="1" applyAlignment="1">
      <alignment vertical="center" wrapText="1"/>
    </xf>
    <xf numFmtId="0" fontId="41" fillId="24" borderId="67" xfId="0" applyFont="1" applyFill="1" applyBorder="1" applyAlignment="1">
      <alignment vertical="center" wrapText="1"/>
    </xf>
    <xf numFmtId="167" fontId="6" fillId="26" borderId="6" xfId="1" applyNumberFormat="1" applyFont="1" applyFill="1" applyBorder="1" applyAlignment="1">
      <alignment horizontal="right" vertical="center"/>
    </xf>
    <xf numFmtId="3" fontId="25" fillId="26" borderId="5" xfId="0" applyNumberFormat="1" applyFont="1" applyFill="1" applyBorder="1" applyAlignment="1">
      <alignment horizontal="right" vertical="center"/>
    </xf>
    <xf numFmtId="171" fontId="35" fillId="4" borderId="41" xfId="0" applyNumberFormat="1" applyFont="1" applyFill="1" applyBorder="1" applyAlignment="1">
      <alignment vertical="center"/>
    </xf>
    <xf numFmtId="174" fontId="35" fillId="4" borderId="10" xfId="1" applyNumberFormat="1" applyFont="1" applyFill="1" applyBorder="1" applyAlignment="1">
      <alignment vertical="center"/>
    </xf>
    <xf numFmtId="0" fontId="32" fillId="0" borderId="0" xfId="0" applyFont="1"/>
    <xf numFmtId="174" fontId="32" fillId="0" borderId="0" xfId="0" applyNumberFormat="1" applyFont="1"/>
    <xf numFmtId="49" fontId="5" fillId="0" borderId="0" xfId="0" applyNumberFormat="1" applyFont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17" fontId="1" fillId="0" borderId="4" xfId="0" applyNumberFormat="1" applyFont="1" applyBorder="1" applyAlignment="1" applyProtection="1">
      <alignment horizontal="center" vertical="center"/>
      <protection locked="0"/>
    </xf>
    <xf numFmtId="17" fontId="1" fillId="0" borderId="3" xfId="0" applyNumberFormat="1" applyFont="1" applyBorder="1" applyAlignment="1" applyProtection="1">
      <alignment horizontal="center" vertical="center"/>
      <protection locked="0"/>
    </xf>
    <xf numFmtId="0" fontId="1" fillId="0" borderId="35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26" borderId="68" xfId="0" applyFont="1" applyFill="1" applyBorder="1" applyAlignment="1" applyProtection="1">
      <alignment vertical="center" wrapText="1"/>
      <protection locked="0"/>
    </xf>
    <xf numFmtId="167" fontId="6" fillId="26" borderId="6" xfId="1" applyNumberFormat="1" applyFont="1" applyFill="1" applyBorder="1" applyAlignment="1" applyProtection="1">
      <alignment vertical="center"/>
      <protection locked="0"/>
    </xf>
    <xf numFmtId="9" fontId="6" fillId="26" borderId="8" xfId="2" applyFont="1" applyFill="1" applyBorder="1" applyAlignment="1" applyProtection="1">
      <alignment horizontal="center" vertical="center"/>
      <protection locked="0"/>
    </xf>
    <xf numFmtId="167" fontId="6" fillId="26" borderId="11" xfId="1" applyNumberFormat="1" applyFont="1" applyFill="1" applyBorder="1" applyAlignment="1" applyProtection="1">
      <alignment vertical="center"/>
      <protection locked="0"/>
    </xf>
    <xf numFmtId="167" fontId="6" fillId="26" borderId="6" xfId="1" applyNumberFormat="1" applyFont="1" applyFill="1" applyBorder="1" applyAlignment="1" applyProtection="1">
      <alignment horizontal="right" vertical="center"/>
      <protection locked="0"/>
    </xf>
    <xf numFmtId="9" fontId="6" fillId="26" borderId="6" xfId="2" applyFont="1" applyFill="1" applyBorder="1" applyAlignment="1" applyProtection="1">
      <alignment horizontal="center" vertical="center"/>
      <protection locked="0"/>
    </xf>
    <xf numFmtId="9" fontId="6" fillId="26" borderId="5" xfId="2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3" fillId="26" borderId="66" xfId="0" applyFont="1" applyFill="1" applyBorder="1" applyAlignment="1" applyProtection="1">
      <alignment vertical="center" wrapText="1"/>
      <protection locked="0"/>
    </xf>
    <xf numFmtId="167" fontId="6" fillId="26" borderId="5" xfId="1" applyNumberFormat="1" applyFont="1" applyFill="1" applyBorder="1" applyAlignment="1" applyProtection="1">
      <alignment horizontal="right" vertical="center"/>
      <protection locked="0"/>
    </xf>
    <xf numFmtId="9" fontId="6" fillId="26" borderId="1" xfId="2" applyFont="1" applyFill="1" applyBorder="1" applyAlignment="1" applyProtection="1">
      <alignment horizontal="center" vertical="center"/>
      <protection locked="0"/>
    </xf>
    <xf numFmtId="167" fontId="6" fillId="26" borderId="48" xfId="1" applyNumberFormat="1" applyFont="1" applyFill="1" applyBorder="1" applyAlignment="1" applyProtection="1">
      <alignment vertical="center"/>
      <protection locked="0"/>
    </xf>
    <xf numFmtId="3" fontId="25" fillId="26" borderId="5" xfId="0" applyNumberFormat="1" applyFont="1" applyFill="1" applyBorder="1" applyAlignment="1" applyProtection="1">
      <alignment horizontal="right" vertical="center"/>
      <protection locked="0"/>
    </xf>
    <xf numFmtId="167" fontId="6" fillId="26" borderId="5" xfId="1" applyNumberFormat="1" applyFont="1" applyFill="1" applyBorder="1" applyAlignment="1" applyProtection="1">
      <alignment vertical="center"/>
      <protection locked="0"/>
    </xf>
    <xf numFmtId="168" fontId="6" fillId="26" borderId="1" xfId="2" applyNumberFormat="1" applyFont="1" applyFill="1" applyBorder="1" applyAlignment="1" applyProtection="1">
      <alignment horizontal="center" vertical="center"/>
      <protection locked="0"/>
    </xf>
    <xf numFmtId="167" fontId="6" fillId="27" borderId="48" xfId="1" applyNumberFormat="1" applyFont="1" applyFill="1" applyBorder="1" applyAlignment="1" applyProtection="1">
      <alignment horizontal="center" vertical="center"/>
      <protection locked="0"/>
    </xf>
    <xf numFmtId="168" fontId="6" fillId="26" borderId="5" xfId="2" applyNumberFormat="1" applyFont="1" applyFill="1" applyBorder="1" applyAlignment="1" applyProtection="1">
      <alignment horizontal="center" vertical="center"/>
      <protection locked="0"/>
    </xf>
    <xf numFmtId="167" fontId="6" fillId="27" borderId="5" xfId="1" applyNumberFormat="1" applyFont="1" applyFill="1" applyBorder="1" applyAlignment="1" applyProtection="1">
      <alignment horizontal="center" vertical="center"/>
      <protection locked="0"/>
    </xf>
    <xf numFmtId="167" fontId="6" fillId="0" borderId="0" xfId="1" applyNumberFormat="1" applyFont="1" applyAlignment="1" applyProtection="1">
      <alignment vertical="center"/>
      <protection locked="0"/>
    </xf>
    <xf numFmtId="0" fontId="3" fillId="22" borderId="66" xfId="0" applyFont="1" applyFill="1" applyBorder="1" applyAlignment="1" applyProtection="1">
      <alignment vertical="center" wrapText="1"/>
      <protection locked="0"/>
    </xf>
    <xf numFmtId="167" fontId="6" fillId="22" borderId="9" xfId="1" applyNumberFormat="1" applyFont="1" applyFill="1" applyBorder="1" applyAlignment="1" applyProtection="1">
      <alignment vertical="center"/>
      <protection locked="0"/>
    </xf>
    <xf numFmtId="3" fontId="25" fillId="22" borderId="5" xfId="0" applyNumberFormat="1" applyFont="1" applyFill="1" applyBorder="1" applyAlignment="1" applyProtection="1">
      <alignment horizontal="right" vertical="center"/>
      <protection locked="0"/>
    </xf>
    <xf numFmtId="3" fontId="25" fillId="22" borderId="5" xfId="0" applyNumberFormat="1" applyFont="1" applyFill="1" applyBorder="1" applyAlignment="1" applyProtection="1">
      <alignment horizontal="center" vertical="center"/>
      <protection locked="0"/>
    </xf>
    <xf numFmtId="0" fontId="3" fillId="23" borderId="66" xfId="0" applyFont="1" applyFill="1" applyBorder="1" applyAlignment="1" applyProtection="1">
      <alignment vertical="center" wrapText="1"/>
      <protection locked="0"/>
    </xf>
    <xf numFmtId="167" fontId="6" fillId="23" borderId="9" xfId="1" applyNumberFormat="1" applyFont="1" applyFill="1" applyBorder="1" applyAlignment="1" applyProtection="1">
      <alignment vertical="center"/>
      <protection locked="0"/>
    </xf>
    <xf numFmtId="3" fontId="25" fillId="23" borderId="5" xfId="0" applyNumberFormat="1" applyFont="1" applyFill="1" applyBorder="1" applyAlignment="1" applyProtection="1">
      <alignment horizontal="right" vertical="center"/>
      <protection locked="0"/>
    </xf>
    <xf numFmtId="9" fontId="6" fillId="23" borderId="1" xfId="2" applyFont="1" applyFill="1" applyBorder="1" applyAlignment="1" applyProtection="1">
      <alignment horizontal="center" vertical="center"/>
      <protection locked="0"/>
    </xf>
    <xf numFmtId="0" fontId="3" fillId="13" borderId="66" xfId="0" applyFont="1" applyFill="1" applyBorder="1" applyAlignment="1" applyProtection="1">
      <alignment vertical="center" wrapText="1"/>
      <protection locked="0"/>
    </xf>
    <xf numFmtId="3" fontId="25" fillId="13" borderId="9" xfId="0" applyNumberFormat="1" applyFont="1" applyFill="1" applyBorder="1" applyAlignment="1" applyProtection="1">
      <alignment horizontal="right" vertical="center"/>
      <protection locked="0"/>
    </xf>
    <xf numFmtId="3" fontId="25" fillId="13" borderId="5" xfId="0" applyNumberFormat="1" applyFont="1" applyFill="1" applyBorder="1" applyAlignment="1" applyProtection="1">
      <alignment horizontal="right" vertical="center"/>
      <protection locked="0"/>
    </xf>
    <xf numFmtId="9" fontId="6" fillId="13" borderId="1" xfId="2" applyFont="1" applyFill="1" applyBorder="1" applyAlignment="1" applyProtection="1">
      <alignment horizontal="center" vertical="center"/>
      <protection locked="0"/>
    </xf>
    <xf numFmtId="0" fontId="3" fillId="24" borderId="66" xfId="0" applyFont="1" applyFill="1" applyBorder="1" applyAlignment="1" applyProtection="1">
      <alignment vertical="center" wrapText="1"/>
      <protection locked="0"/>
    </xf>
    <xf numFmtId="167" fontId="6" fillId="25" borderId="9" xfId="1" applyNumberFormat="1" applyFont="1" applyFill="1" applyBorder="1" applyAlignment="1" applyProtection="1">
      <alignment horizontal="center" vertical="center"/>
      <protection locked="0"/>
    </xf>
    <xf numFmtId="3" fontId="25" fillId="24" borderId="5" xfId="0" applyNumberFormat="1" applyFont="1" applyFill="1" applyBorder="1" applyAlignment="1" applyProtection="1">
      <alignment horizontal="right" vertical="center"/>
      <protection locked="0"/>
    </xf>
    <xf numFmtId="0" fontId="3" fillId="24" borderId="67" xfId="0" applyFont="1" applyFill="1" applyBorder="1" applyAlignment="1" applyProtection="1">
      <alignment vertical="center" wrapText="1"/>
      <protection locked="0"/>
    </xf>
    <xf numFmtId="167" fontId="6" fillId="25" borderId="2" xfId="1" applyNumberFormat="1" applyFont="1" applyFill="1" applyBorder="1" applyAlignment="1" applyProtection="1">
      <alignment horizontal="center" vertical="center"/>
      <protection locked="0"/>
    </xf>
    <xf numFmtId="3" fontId="25" fillId="24" borderId="4" xfId="0" applyNumberFormat="1" applyFont="1" applyFill="1" applyBorder="1" applyAlignment="1" applyProtection="1">
      <alignment horizontal="right" vertical="center"/>
      <protection locked="0"/>
    </xf>
    <xf numFmtId="0" fontId="3" fillId="0" borderId="0" xfId="0" applyFont="1" applyAlignment="1" applyProtection="1">
      <alignment wrapText="1"/>
      <protection locked="0"/>
    </xf>
    <xf numFmtId="0" fontId="3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167" fontId="3" fillId="0" borderId="0" xfId="0" applyNumberFormat="1" applyFont="1" applyProtection="1">
      <protection locked="0"/>
    </xf>
    <xf numFmtId="9" fontId="1" fillId="0" borderId="18" xfId="2" applyFont="1" applyBorder="1" applyAlignment="1" applyProtection="1">
      <alignment horizontal="center" vertical="center"/>
      <protection locked="0"/>
    </xf>
    <xf numFmtId="166" fontId="3" fillId="0" borderId="0" xfId="11" applyFont="1" applyProtection="1">
      <protection locked="0"/>
    </xf>
    <xf numFmtId="3" fontId="3" fillId="0" borderId="0" xfId="0" applyNumberFormat="1" applyFont="1" applyProtection="1">
      <protection locked="0"/>
    </xf>
    <xf numFmtId="10" fontId="3" fillId="0" borderId="0" xfId="0" applyNumberFormat="1" applyFont="1" applyAlignment="1" applyProtection="1">
      <alignment wrapText="1"/>
      <protection locked="0"/>
    </xf>
    <xf numFmtId="166" fontId="3" fillId="0" borderId="0" xfId="0" applyNumberFormat="1" applyFont="1" applyProtection="1">
      <protection locked="0"/>
    </xf>
    <xf numFmtId="173" fontId="1" fillId="0" borderId="0" xfId="0" applyNumberFormat="1" applyFont="1" applyProtection="1">
      <protection locked="0"/>
    </xf>
    <xf numFmtId="3" fontId="1" fillId="0" borderId="0" xfId="0" applyNumberFormat="1" applyFont="1" applyProtection="1">
      <protection locked="0"/>
    </xf>
    <xf numFmtId="167" fontId="1" fillId="0" borderId="0" xfId="0" applyNumberFormat="1" applyFont="1" applyProtection="1">
      <protection locked="0"/>
    </xf>
    <xf numFmtId="167" fontId="1" fillId="0" borderId="0" xfId="0" applyNumberFormat="1" applyFont="1" applyAlignment="1" applyProtection="1">
      <alignment horizontal="center"/>
      <protection locked="0"/>
    </xf>
    <xf numFmtId="167" fontId="26" fillId="0" borderId="0" xfId="0" applyNumberFormat="1" applyFont="1" applyProtection="1">
      <protection locked="0"/>
    </xf>
    <xf numFmtId="10" fontId="26" fillId="0" borderId="0" xfId="0" applyNumberFormat="1" applyFont="1" applyAlignment="1" applyProtection="1">
      <alignment horizontal="center"/>
      <protection locked="0"/>
    </xf>
    <xf numFmtId="10" fontId="1" fillId="0" borderId="0" xfId="0" applyNumberFormat="1" applyFont="1" applyAlignment="1" applyProtection="1">
      <alignment horizontal="center"/>
      <protection locked="0"/>
    </xf>
    <xf numFmtId="3" fontId="3" fillId="0" borderId="0" xfId="0" applyNumberFormat="1" applyFont="1" applyAlignment="1" applyProtection="1">
      <alignment wrapText="1"/>
      <protection locked="0"/>
    </xf>
    <xf numFmtId="3" fontId="1" fillId="0" borderId="0" xfId="0" applyNumberFormat="1" applyFont="1" applyAlignment="1" applyProtection="1">
      <alignment horizontal="center"/>
      <protection locked="0"/>
    </xf>
    <xf numFmtId="9" fontId="1" fillId="0" borderId="0" xfId="2" applyFont="1" applyProtection="1">
      <protection locked="0"/>
    </xf>
    <xf numFmtId="9" fontId="1" fillId="0" borderId="0" xfId="2" applyFont="1" applyAlignment="1" applyProtection="1">
      <alignment horizontal="center"/>
      <protection locked="0"/>
    </xf>
    <xf numFmtId="167" fontId="3" fillId="0" borderId="0" xfId="0" applyNumberFormat="1" applyFont="1" applyAlignment="1" applyProtection="1">
      <alignment horizontal="center"/>
      <protection locked="0"/>
    </xf>
    <xf numFmtId="168" fontId="1" fillId="0" borderId="0" xfId="0" applyNumberFormat="1" applyFont="1" applyAlignment="1" applyProtection="1">
      <alignment horizontal="center"/>
      <protection locked="0"/>
    </xf>
    <xf numFmtId="167" fontId="6" fillId="26" borderId="7" xfId="1" applyNumberFormat="1" applyFont="1" applyFill="1" applyBorder="1" applyAlignment="1" applyProtection="1">
      <alignment vertical="center"/>
    </xf>
    <xf numFmtId="167" fontId="6" fillId="26" borderId="6" xfId="1" applyNumberFormat="1" applyFont="1" applyFill="1" applyBorder="1" applyAlignment="1" applyProtection="1">
      <alignment vertical="center"/>
    </xf>
    <xf numFmtId="167" fontId="6" fillId="26" borderId="9" xfId="1" applyNumberFormat="1" applyFont="1" applyFill="1" applyBorder="1" applyAlignment="1" applyProtection="1">
      <alignment vertical="center"/>
    </xf>
    <xf numFmtId="167" fontId="6" fillId="26" borderId="5" xfId="1" applyNumberFormat="1" applyFont="1" applyFill="1" applyBorder="1" applyAlignment="1" applyProtection="1">
      <alignment horizontal="right" vertical="center"/>
    </xf>
    <xf numFmtId="167" fontId="6" fillId="27" borderId="9" xfId="1" applyNumberFormat="1" applyFont="1" applyFill="1" applyBorder="1" applyAlignment="1" applyProtection="1">
      <alignment horizontal="center" vertical="center"/>
    </xf>
    <xf numFmtId="167" fontId="6" fillId="22" borderId="9" xfId="1" applyNumberFormat="1" applyFont="1" applyFill="1" applyBorder="1" applyAlignment="1" applyProtection="1">
      <alignment vertical="center"/>
    </xf>
    <xf numFmtId="167" fontId="6" fillId="23" borderId="9" xfId="1" applyNumberFormat="1" applyFont="1" applyFill="1" applyBorder="1" applyAlignment="1" applyProtection="1">
      <alignment vertical="center"/>
    </xf>
    <xf numFmtId="167" fontId="6" fillId="25" borderId="9" xfId="1" applyNumberFormat="1" applyFont="1" applyFill="1" applyBorder="1" applyAlignment="1" applyProtection="1">
      <alignment horizontal="center" vertical="center"/>
    </xf>
    <xf numFmtId="167" fontId="6" fillId="25" borderId="2" xfId="1" applyNumberFormat="1" applyFont="1" applyFill="1" applyBorder="1" applyAlignment="1" applyProtection="1">
      <alignment horizontal="center" vertical="center"/>
    </xf>
    <xf numFmtId="0" fontId="10" fillId="0" borderId="41" xfId="0" applyFont="1" applyBorder="1" applyAlignment="1">
      <alignment horizontal="left" vertical="center"/>
    </xf>
    <xf numFmtId="0" fontId="10" fillId="0" borderId="41" xfId="0" applyFont="1" applyBorder="1" applyAlignment="1" applyProtection="1">
      <alignment vertical="center"/>
      <protection locked="0"/>
    </xf>
    <xf numFmtId="3" fontId="16" fillId="3" borderId="15" xfId="0" applyNumberFormat="1" applyFont="1" applyFill="1" applyBorder="1" applyAlignment="1" applyProtection="1">
      <alignment horizontal="center" vertical="center" wrapText="1"/>
      <protection locked="0"/>
    </xf>
    <xf numFmtId="3" fontId="14" fillId="3" borderId="25" xfId="0" applyNumberFormat="1" applyFont="1" applyFill="1" applyBorder="1" applyAlignment="1">
      <alignment horizontal="left" vertical="top" wrapText="1"/>
    </xf>
    <xf numFmtId="3" fontId="14" fillId="3" borderId="50" xfId="0" applyNumberFormat="1" applyFont="1" applyFill="1" applyBorder="1" applyAlignment="1">
      <alignment horizontal="left" vertical="top" wrapText="1"/>
    </xf>
    <xf numFmtId="3" fontId="14" fillId="9" borderId="50" xfId="0" applyNumberFormat="1" applyFont="1" applyFill="1" applyBorder="1" applyAlignment="1">
      <alignment horizontal="left" vertical="top" wrapText="1"/>
    </xf>
    <xf numFmtId="3" fontId="16" fillId="3" borderId="30" xfId="0" applyNumberFormat="1" applyFont="1" applyFill="1" applyBorder="1" applyAlignment="1" applyProtection="1">
      <alignment horizontal="center" vertical="center" wrapText="1"/>
      <protection locked="0"/>
    </xf>
    <xf numFmtId="9" fontId="42" fillId="0" borderId="5" xfId="2" applyFont="1" applyFill="1" applyBorder="1" applyAlignment="1" applyProtection="1">
      <alignment horizontal="center" vertical="center"/>
      <protection locked="0"/>
    </xf>
    <xf numFmtId="164" fontId="43" fillId="0" borderId="5" xfId="1" applyFont="1" applyFill="1" applyBorder="1" applyAlignment="1" applyProtection="1">
      <alignment horizontal="center" vertical="center"/>
      <protection locked="0"/>
    </xf>
    <xf numFmtId="164" fontId="43" fillId="0" borderId="41" xfId="1" applyFont="1" applyFill="1" applyBorder="1" applyAlignment="1" applyProtection="1">
      <alignment horizontal="center" vertical="center"/>
      <protection locked="0"/>
    </xf>
    <xf numFmtId="1" fontId="39" fillId="0" borderId="5" xfId="0" applyNumberFormat="1" applyFont="1" applyBorder="1" applyAlignment="1" applyProtection="1">
      <alignment horizontal="left" vertical="center" wrapText="1"/>
      <protection locked="0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7" fontId="0" fillId="0" borderId="5" xfId="0" applyNumberFormat="1" applyBorder="1" applyAlignment="1">
      <alignment horizontal="center" vertical="center"/>
    </xf>
    <xf numFmtId="17" fontId="0" fillId="0" borderId="5" xfId="0" applyNumberFormat="1" applyBorder="1" applyAlignment="1">
      <alignment horizontal="left" vertical="center"/>
    </xf>
    <xf numFmtId="0" fontId="9" fillId="28" borderId="5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174" fontId="8" fillId="3" borderId="5" xfId="0" applyNumberFormat="1" applyFont="1" applyFill="1" applyBorder="1" applyAlignment="1">
      <alignment horizontal="left" vertical="center" wrapText="1"/>
    </xf>
    <xf numFmtId="9" fontId="44" fillId="0" borderId="5" xfId="2" applyFont="1" applyFill="1" applyBorder="1" applyAlignment="1" applyProtection="1">
      <alignment horizontal="center" vertical="center"/>
      <protection locked="0"/>
    </xf>
    <xf numFmtId="164" fontId="45" fillId="0" borderId="5" xfId="1" applyFont="1" applyFill="1" applyBorder="1" applyAlignment="1" applyProtection="1">
      <alignment horizontal="center" vertical="center"/>
      <protection locked="0"/>
    </xf>
    <xf numFmtId="0" fontId="13" fillId="9" borderId="18" xfId="0" applyFont="1" applyFill="1" applyBorder="1" applyAlignment="1" applyProtection="1">
      <alignment horizontal="center" vertical="center"/>
      <protection locked="0"/>
    </xf>
    <xf numFmtId="9" fontId="42" fillId="0" borderId="41" xfId="2" applyFont="1" applyFill="1" applyBorder="1" applyAlignment="1" applyProtection="1">
      <alignment horizontal="center" vertical="center"/>
      <protection locked="0"/>
    </xf>
    <xf numFmtId="49" fontId="10" fillId="0" borderId="41" xfId="0" applyNumberFormat="1" applyFont="1" applyBorder="1" applyAlignment="1" applyProtection="1">
      <alignment vertical="center"/>
      <protection locked="0"/>
    </xf>
    <xf numFmtId="3" fontId="8" fillId="3" borderId="5" xfId="0" applyNumberFormat="1" applyFont="1" applyFill="1" applyBorder="1" applyAlignment="1">
      <alignment horizontal="left" vertical="center" wrapText="1"/>
    </xf>
    <xf numFmtId="172" fontId="31" fillId="0" borderId="5" xfId="3" applyNumberFormat="1" applyFont="1" applyFill="1" applyBorder="1" applyAlignment="1" applyProtection="1">
      <alignment horizontal="center" vertical="center"/>
      <protection locked="0"/>
    </xf>
    <xf numFmtId="49" fontId="8" fillId="3" borderId="5" xfId="0" applyNumberFormat="1" applyFont="1" applyFill="1" applyBorder="1" applyAlignment="1">
      <alignment horizontal="left" vertical="center" wrapText="1"/>
    </xf>
    <xf numFmtId="0" fontId="8" fillId="3" borderId="5" xfId="1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 wrapText="1"/>
    </xf>
    <xf numFmtId="0" fontId="0" fillId="0" borderId="5" xfId="0" applyBorder="1"/>
    <xf numFmtId="1" fontId="8" fillId="3" borderId="5" xfId="0" applyNumberFormat="1" applyFont="1" applyFill="1" applyBorder="1" applyAlignment="1">
      <alignment horizontal="left" vertical="center" wrapText="1"/>
    </xf>
    <xf numFmtId="1" fontId="36" fillId="0" borderId="48" xfId="0" applyNumberFormat="1" applyFont="1" applyBorder="1" applyAlignment="1" applyProtection="1">
      <alignment horizontal="left" vertical="center"/>
      <protection locked="0"/>
    </xf>
    <xf numFmtId="17" fontId="13" fillId="0" borderId="0" xfId="0" applyNumberFormat="1" applyFont="1" applyAlignment="1">
      <alignment horizontal="center" vertical="center"/>
    </xf>
    <xf numFmtId="3" fontId="19" fillId="10" borderId="26" xfId="0" applyNumberFormat="1" applyFont="1" applyFill="1" applyBorder="1" applyAlignment="1">
      <alignment horizontal="center" vertical="center"/>
    </xf>
    <xf numFmtId="172" fontId="47" fillId="0" borderId="5" xfId="0" applyNumberFormat="1" applyFont="1" applyBorder="1" applyAlignment="1">
      <alignment horizontal="left" vertical="center"/>
    </xf>
    <xf numFmtId="0" fontId="47" fillId="0" borderId="5" xfId="0" applyFont="1" applyBorder="1" applyAlignment="1">
      <alignment horizontal="left" vertical="center"/>
    </xf>
    <xf numFmtId="0" fontId="47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0" fontId="47" fillId="0" borderId="5" xfId="0" applyFont="1" applyBorder="1" applyAlignment="1" applyProtection="1">
      <alignment vertical="center"/>
      <protection locked="0"/>
    </xf>
    <xf numFmtId="49" fontId="47" fillId="0" borderId="5" xfId="0" applyNumberFormat="1" applyFont="1" applyBorder="1" applyAlignment="1">
      <alignment horizontal="left" vertical="center" wrapText="1"/>
    </xf>
    <xf numFmtId="9" fontId="47" fillId="0" borderId="5" xfId="2" applyFont="1" applyFill="1" applyBorder="1" applyAlignment="1" applyProtection="1">
      <alignment horizontal="center" vertical="center"/>
      <protection locked="0"/>
    </xf>
    <xf numFmtId="172" fontId="47" fillId="0" borderId="5" xfId="3" applyNumberFormat="1" applyFont="1" applyFill="1" applyBorder="1" applyAlignment="1" applyProtection="1">
      <alignment horizontal="center" vertical="center"/>
      <protection locked="0"/>
    </xf>
    <xf numFmtId="164" fontId="48" fillId="0" borderId="5" xfId="1" applyFont="1" applyFill="1" applyBorder="1" applyAlignment="1" applyProtection="1">
      <alignment horizontal="center" vertical="center"/>
      <protection locked="0"/>
    </xf>
    <xf numFmtId="164" fontId="48" fillId="0" borderId="5" xfId="1" applyFont="1" applyFill="1" applyBorder="1" applyAlignment="1" applyProtection="1">
      <alignment horizontal="left" vertical="top" wrapText="1"/>
      <protection locked="0"/>
    </xf>
    <xf numFmtId="0" fontId="47" fillId="0" borderId="41" xfId="0" applyFont="1" applyBorder="1" applyAlignment="1" applyProtection="1">
      <alignment vertical="center"/>
      <protection locked="0"/>
    </xf>
    <xf numFmtId="49" fontId="47" fillId="0" borderId="41" xfId="0" applyNumberFormat="1" applyFont="1" applyBorder="1" applyAlignment="1">
      <alignment horizontal="left" vertical="center" wrapText="1"/>
    </xf>
    <xf numFmtId="9" fontId="47" fillId="0" borderId="41" xfId="2" applyFont="1" applyFill="1" applyBorder="1" applyAlignment="1" applyProtection="1">
      <alignment horizontal="center" vertical="center"/>
      <protection locked="0"/>
    </xf>
    <xf numFmtId="164" fontId="48" fillId="0" borderId="41" xfId="1" applyFont="1" applyFill="1" applyBorder="1" applyAlignment="1" applyProtection="1">
      <alignment horizontal="center" vertical="center"/>
      <protection locked="0"/>
    </xf>
    <xf numFmtId="0" fontId="13" fillId="5" borderId="47" xfId="0" applyFont="1" applyFill="1" applyBorder="1" applyAlignment="1">
      <alignment horizontal="left" vertical="center"/>
    </xf>
    <xf numFmtId="172" fontId="49" fillId="0" borderId="5" xfId="0" applyNumberFormat="1" applyFont="1" applyBorder="1" applyAlignment="1">
      <alignment horizontal="left" vertical="center"/>
    </xf>
    <xf numFmtId="0" fontId="49" fillId="0" borderId="5" xfId="0" applyFont="1" applyBorder="1" applyAlignment="1">
      <alignment horizontal="left" vertical="center"/>
    </xf>
    <xf numFmtId="0" fontId="49" fillId="0" borderId="0" xfId="0" applyFont="1" applyAlignment="1">
      <alignment vertical="center"/>
    </xf>
    <xf numFmtId="0" fontId="49" fillId="0" borderId="0" xfId="0" applyFont="1" applyAlignment="1">
      <alignment horizontal="center" vertical="center"/>
    </xf>
    <xf numFmtId="0" fontId="49" fillId="0" borderId="5" xfId="0" applyFont="1" applyBorder="1" applyAlignment="1" applyProtection="1">
      <alignment vertical="center"/>
      <protection locked="0"/>
    </xf>
    <xf numFmtId="49" fontId="49" fillId="0" borderId="5" xfId="0" applyNumberFormat="1" applyFont="1" applyBorder="1" applyAlignment="1">
      <alignment horizontal="left" vertical="center" wrapText="1"/>
    </xf>
    <xf numFmtId="9" fontId="49" fillId="0" borderId="5" xfId="2" applyFont="1" applyFill="1" applyBorder="1" applyAlignment="1" applyProtection="1">
      <alignment horizontal="center" vertical="center"/>
      <protection locked="0"/>
    </xf>
    <xf numFmtId="172" fontId="49" fillId="0" borderId="5" xfId="3" applyNumberFormat="1" applyFont="1" applyFill="1" applyBorder="1" applyAlignment="1" applyProtection="1">
      <alignment horizontal="center" vertical="center"/>
      <protection locked="0"/>
    </xf>
    <xf numFmtId="164" fontId="50" fillId="0" borderId="5" xfId="1" applyFont="1" applyFill="1" applyBorder="1" applyAlignment="1" applyProtection="1">
      <alignment horizontal="center" vertical="center"/>
      <protection locked="0"/>
    </xf>
    <xf numFmtId="164" fontId="50" fillId="0" borderId="5" xfId="1" applyFont="1" applyFill="1" applyBorder="1" applyAlignment="1" applyProtection="1">
      <alignment horizontal="left" vertical="top" wrapText="1"/>
      <protection locked="0"/>
    </xf>
    <xf numFmtId="172" fontId="49" fillId="0" borderId="41" xfId="0" applyNumberFormat="1" applyFont="1" applyBorder="1" applyAlignment="1">
      <alignment horizontal="left" vertical="center"/>
    </xf>
    <xf numFmtId="0" fontId="49" fillId="0" borderId="41" xfId="0" applyFont="1" applyBorder="1" applyAlignment="1">
      <alignment horizontal="left" vertical="center"/>
    </xf>
    <xf numFmtId="0" fontId="49" fillId="0" borderId="41" xfId="0" applyFont="1" applyBorder="1" applyAlignment="1" applyProtection="1">
      <alignment vertical="center"/>
      <protection locked="0"/>
    </xf>
    <xf numFmtId="49" fontId="49" fillId="0" borderId="41" xfId="0" applyNumberFormat="1" applyFont="1" applyBorder="1" applyAlignment="1">
      <alignment horizontal="left" vertical="center" wrapText="1"/>
    </xf>
    <xf numFmtId="9" fontId="49" fillId="0" borderId="41" xfId="2" applyFont="1" applyFill="1" applyBorder="1" applyAlignment="1" applyProtection="1">
      <alignment horizontal="center" vertical="center"/>
      <protection locked="0"/>
    </xf>
    <xf numFmtId="172" fontId="49" fillId="0" borderId="41" xfId="3" applyNumberFormat="1" applyFont="1" applyFill="1" applyBorder="1" applyAlignment="1" applyProtection="1">
      <alignment horizontal="center" vertical="center"/>
      <protection locked="0"/>
    </xf>
    <xf numFmtId="164" fontId="50" fillId="0" borderId="41" xfId="1" applyFont="1" applyFill="1" applyBorder="1" applyAlignment="1" applyProtection="1">
      <alignment horizontal="center" vertical="center"/>
      <protection locked="0"/>
    </xf>
    <xf numFmtId="164" fontId="50" fillId="0" borderId="41" xfId="1" applyFont="1" applyFill="1" applyBorder="1" applyAlignment="1" applyProtection="1">
      <alignment horizontal="left" vertical="top" wrapText="1"/>
      <protection locked="0"/>
    </xf>
    <xf numFmtId="0" fontId="27" fillId="0" borderId="0" xfId="4"/>
    <xf numFmtId="171" fontId="10" fillId="0" borderId="0" xfId="0" applyNumberFormat="1" applyFont="1" applyAlignment="1">
      <alignment horizontal="left" vertical="center"/>
    </xf>
    <xf numFmtId="175" fontId="46" fillId="0" borderId="0" xfId="1" applyNumberFormat="1" applyFont="1" applyAlignment="1">
      <alignment horizontal="left" vertical="center"/>
    </xf>
    <xf numFmtId="174" fontId="46" fillId="0" borderId="0" xfId="1" applyNumberFormat="1" applyFont="1" applyAlignment="1">
      <alignment horizontal="right" vertical="center"/>
    </xf>
    <xf numFmtId="172" fontId="10" fillId="0" borderId="0" xfId="0" applyNumberFormat="1" applyFont="1" applyAlignment="1">
      <alignment horizontal="right" vertical="center"/>
    </xf>
    <xf numFmtId="1" fontId="10" fillId="0" borderId="0" xfId="0" applyNumberFormat="1" applyFont="1" applyAlignment="1">
      <alignment horizontal="left" vertical="center"/>
    </xf>
    <xf numFmtId="171" fontId="24" fillId="4" borderId="41" xfId="0" applyNumberFormat="1" applyFont="1" applyFill="1" applyBorder="1" applyAlignment="1">
      <alignment horizontal="left" vertical="center"/>
    </xf>
    <xf numFmtId="0" fontId="24" fillId="4" borderId="41" xfId="0" applyFont="1" applyFill="1" applyBorder="1" applyAlignment="1">
      <alignment horizontal="left" vertical="center"/>
    </xf>
    <xf numFmtId="0" fontId="24" fillId="4" borderId="10" xfId="0" applyFont="1" applyFill="1" applyBorder="1" applyAlignment="1">
      <alignment horizontal="left" vertical="center"/>
    </xf>
    <xf numFmtId="174" fontId="24" fillId="4" borderId="10" xfId="1" applyNumberFormat="1" applyFont="1" applyFill="1" applyBorder="1" applyAlignment="1">
      <alignment horizontal="right" vertical="center"/>
    </xf>
    <xf numFmtId="172" fontId="24" fillId="4" borderId="10" xfId="0" applyNumberFormat="1" applyFont="1" applyFill="1" applyBorder="1" applyAlignment="1">
      <alignment horizontal="right" vertical="center"/>
    </xf>
    <xf numFmtId="1" fontId="24" fillId="4" borderId="41" xfId="0" applyNumberFormat="1" applyFont="1" applyFill="1" applyBorder="1" applyAlignment="1">
      <alignment horizontal="left" vertical="center"/>
    </xf>
    <xf numFmtId="171" fontId="10" fillId="0" borderId="5" xfId="0" applyNumberFormat="1" applyFont="1" applyBorder="1" applyAlignment="1" applyProtection="1">
      <alignment horizontal="left"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1" fontId="11" fillId="0" borderId="5" xfId="0" applyNumberFormat="1" applyFont="1" applyBorder="1" applyAlignment="1" applyProtection="1">
      <alignment horizontal="left" vertical="center"/>
      <protection locked="0"/>
    </xf>
    <xf numFmtId="170" fontId="11" fillId="0" borderId="5" xfId="0" applyNumberFormat="1" applyFont="1" applyBorder="1" applyAlignment="1" applyProtection="1">
      <alignment horizontal="left" vertical="center" wrapText="1"/>
      <protection locked="0"/>
    </xf>
    <xf numFmtId="174" fontId="10" fillId="0" borderId="5" xfId="1" applyNumberFormat="1" applyFont="1" applyBorder="1" applyAlignment="1">
      <alignment horizontal="right" vertical="center"/>
    </xf>
    <xf numFmtId="172" fontId="10" fillId="0" borderId="5" xfId="0" applyNumberFormat="1" applyFont="1" applyBorder="1" applyAlignment="1">
      <alignment horizontal="right" vertical="center"/>
    </xf>
    <xf numFmtId="1" fontId="10" fillId="0" borderId="5" xfId="0" applyNumberFormat="1" applyFont="1" applyBorder="1" applyAlignment="1">
      <alignment horizontal="left" vertical="center"/>
    </xf>
    <xf numFmtId="171" fontId="52" fillId="3" borderId="5" xfId="0" applyNumberFormat="1" applyFont="1" applyFill="1" applyBorder="1" applyAlignment="1">
      <alignment horizontal="left" vertical="center" wrapText="1"/>
    </xf>
    <xf numFmtId="174" fontId="10" fillId="0" borderId="0" xfId="1" applyNumberFormat="1" applyFont="1" applyAlignment="1">
      <alignment horizontal="right" vertical="center"/>
    </xf>
    <xf numFmtId="176" fontId="0" fillId="0" borderId="0" xfId="2" applyNumberFormat="1" applyFont="1"/>
    <xf numFmtId="177" fontId="27" fillId="0" borderId="5" xfId="4" applyNumberFormat="1" applyBorder="1"/>
    <xf numFmtId="0" fontId="27" fillId="0" borderId="5" xfId="4" applyBorder="1"/>
    <xf numFmtId="0" fontId="51" fillId="29" borderId="36" xfId="4" applyFont="1" applyFill="1" applyBorder="1" applyAlignment="1">
      <alignment horizontal="center"/>
    </xf>
    <xf numFmtId="0" fontId="51" fillId="31" borderId="32" xfId="4" applyFont="1" applyFill="1" applyBorder="1"/>
    <xf numFmtId="0" fontId="51" fillId="31" borderId="41" xfId="4" applyFont="1" applyFill="1" applyBorder="1" applyAlignment="1">
      <alignment horizontal="center"/>
    </xf>
    <xf numFmtId="0" fontId="51" fillId="15" borderId="36" xfId="4" applyFont="1" applyFill="1" applyBorder="1" applyAlignment="1">
      <alignment horizontal="center"/>
    </xf>
    <xf numFmtId="0" fontId="51" fillId="15" borderId="31" xfId="4" applyFont="1" applyFill="1" applyBorder="1"/>
    <xf numFmtId="0" fontId="51" fillId="31" borderId="39" xfId="4" applyFont="1" applyFill="1" applyBorder="1" applyAlignment="1">
      <alignment horizontal="center"/>
    </xf>
    <xf numFmtId="177" fontId="27" fillId="0" borderId="42" xfId="4" applyNumberFormat="1" applyBorder="1"/>
    <xf numFmtId="177" fontId="27" fillId="0" borderId="33" xfId="4" applyNumberFormat="1" applyBorder="1"/>
    <xf numFmtId="0" fontId="53" fillId="30" borderId="14" xfId="0" applyFont="1" applyFill="1" applyBorder="1" applyAlignment="1">
      <alignment horizontal="center"/>
    </xf>
    <xf numFmtId="0" fontId="53" fillId="30" borderId="17" xfId="0" applyFont="1" applyFill="1" applyBorder="1" applyAlignment="1">
      <alignment horizontal="center"/>
    </xf>
    <xf numFmtId="0" fontId="53" fillId="30" borderId="37" xfId="0" applyFont="1" applyFill="1" applyBorder="1" applyAlignment="1">
      <alignment horizontal="center"/>
    </xf>
    <xf numFmtId="0" fontId="51" fillId="29" borderId="17" xfId="4" applyFont="1" applyFill="1" applyBorder="1" applyAlignment="1">
      <alignment horizontal="center"/>
    </xf>
    <xf numFmtId="0" fontId="51" fillId="31" borderId="40" xfId="4" applyFont="1" applyFill="1" applyBorder="1" applyAlignment="1">
      <alignment horizontal="center"/>
    </xf>
    <xf numFmtId="0" fontId="51" fillId="29" borderId="37" xfId="4" applyFont="1" applyFill="1" applyBorder="1" applyAlignment="1">
      <alignment horizontal="center"/>
    </xf>
    <xf numFmtId="177" fontId="27" fillId="0" borderId="47" xfId="4" applyNumberFormat="1" applyBorder="1"/>
    <xf numFmtId="171" fontId="36" fillId="0" borderId="5" xfId="0" applyNumberFormat="1" applyFont="1" applyBorder="1" applyAlignment="1" applyProtection="1">
      <alignment horizontal="left" vertical="center"/>
      <protection locked="0"/>
    </xf>
    <xf numFmtId="3" fontId="36" fillId="0" borderId="5" xfId="0" applyNumberFormat="1" applyFont="1" applyBorder="1" applyAlignment="1" applyProtection="1">
      <alignment horizontal="left" vertical="center"/>
      <protection locked="0"/>
    </xf>
    <xf numFmtId="174" fontId="36" fillId="0" borderId="5" xfId="1" applyNumberFormat="1" applyFont="1" applyFill="1" applyBorder="1" applyAlignment="1">
      <alignment horizontal="right" vertical="center"/>
    </xf>
    <xf numFmtId="171" fontId="36" fillId="0" borderId="5" xfId="0" applyNumberFormat="1" applyFont="1" applyBorder="1" applyAlignment="1" applyProtection="1">
      <alignment horizontal="right" vertical="center"/>
      <protection locked="0"/>
    </xf>
    <xf numFmtId="174" fontId="36" fillId="0" borderId="5" xfId="1" applyNumberFormat="1" applyFont="1" applyBorder="1" applyAlignment="1">
      <alignment horizontal="right" vertical="center"/>
    </xf>
    <xf numFmtId="171" fontId="36" fillId="0" borderId="5" xfId="0" applyNumberFormat="1" applyFont="1" applyBorder="1" applyAlignment="1">
      <alignment horizontal="right" vertical="center"/>
    </xf>
    <xf numFmtId="1" fontId="36" fillId="3" borderId="5" xfId="0" applyNumberFormat="1" applyFont="1" applyFill="1" applyBorder="1" applyAlignment="1">
      <alignment horizontal="left" vertical="center"/>
    </xf>
    <xf numFmtId="0" fontId="36" fillId="0" borderId="5" xfId="0" applyFont="1" applyBorder="1" applyAlignment="1">
      <alignment horizontal="left" vertical="center"/>
    </xf>
    <xf numFmtId="174" fontId="36" fillId="3" borderId="5" xfId="1" applyNumberFormat="1" applyFont="1" applyFill="1" applyBorder="1" applyAlignment="1">
      <alignment horizontal="right" vertical="center"/>
    </xf>
    <xf numFmtId="0" fontId="36" fillId="3" borderId="5" xfId="1" applyNumberFormat="1" applyFont="1" applyFill="1" applyBorder="1" applyAlignment="1" applyProtection="1">
      <alignment horizontal="left" vertical="center"/>
      <protection locked="0"/>
    </xf>
    <xf numFmtId="0" fontId="36" fillId="0" borderId="5" xfId="0" applyFont="1" applyBorder="1" applyAlignment="1">
      <alignment horizontal="right" vertical="center"/>
    </xf>
    <xf numFmtId="171" fontId="36" fillId="0" borderId="5" xfId="0" applyNumberFormat="1" applyFont="1" applyBorder="1" applyAlignment="1">
      <alignment horizontal="left" vertical="center"/>
    </xf>
    <xf numFmtId="0" fontId="36" fillId="3" borderId="5" xfId="0" applyFont="1" applyFill="1" applyBorder="1" applyAlignment="1">
      <alignment horizontal="left" vertical="center"/>
    </xf>
    <xf numFmtId="0" fontId="36" fillId="3" borderId="5" xfId="0" applyFont="1" applyFill="1" applyBorder="1" applyAlignment="1" applyProtection="1">
      <alignment horizontal="left" vertical="center"/>
      <protection locked="0"/>
    </xf>
    <xf numFmtId="167" fontId="36" fillId="0" borderId="5" xfId="0" applyNumberFormat="1" applyFont="1" applyBorder="1" applyAlignment="1">
      <alignment horizontal="left" vertical="center"/>
    </xf>
    <xf numFmtId="0" fontId="36" fillId="3" borderId="0" xfId="0" applyFont="1" applyFill="1" applyAlignment="1">
      <alignment horizontal="left" vertical="center"/>
    </xf>
    <xf numFmtId="170" fontId="36" fillId="0" borderId="5" xfId="0" applyNumberFormat="1" applyFont="1" applyBorder="1" applyAlignment="1">
      <alignment horizontal="left" vertical="center"/>
    </xf>
    <xf numFmtId="167" fontId="36" fillId="0" borderId="5" xfId="0" applyNumberFormat="1" applyFont="1" applyBorder="1" applyAlignment="1">
      <alignment vertical="center"/>
    </xf>
    <xf numFmtId="0" fontId="36" fillId="0" borderId="0" xfId="0" applyFont="1" applyAlignment="1">
      <alignment horizontal="left" vertical="center"/>
    </xf>
    <xf numFmtId="171" fontId="36" fillId="0" borderId="0" xfId="0" applyNumberFormat="1" applyFont="1" applyAlignment="1">
      <alignment horizontal="left" vertical="center"/>
    </xf>
    <xf numFmtId="174" fontId="36" fillId="0" borderId="0" xfId="1" applyNumberFormat="1" applyFont="1" applyAlignment="1">
      <alignment horizontal="right" vertical="center"/>
    </xf>
    <xf numFmtId="0" fontId="36" fillId="0" borderId="0" xfId="0" applyFont="1" applyAlignment="1">
      <alignment horizontal="right" vertical="center"/>
    </xf>
    <xf numFmtId="171" fontId="11" fillId="0" borderId="5" xfId="0" applyNumberFormat="1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174" fontId="11" fillId="0" borderId="5" xfId="1" applyNumberFormat="1" applyFont="1" applyBorder="1" applyAlignment="1">
      <alignment horizontal="right" vertical="center"/>
    </xf>
    <xf numFmtId="172" fontId="11" fillId="0" borderId="5" xfId="0" applyNumberFormat="1" applyFont="1" applyBorder="1" applyAlignment="1">
      <alignment horizontal="right" vertical="center"/>
    </xf>
    <xf numFmtId="1" fontId="11" fillId="0" borderId="5" xfId="0" applyNumberFormat="1" applyFont="1" applyBorder="1" applyAlignment="1">
      <alignment horizontal="left" vertical="center"/>
    </xf>
    <xf numFmtId="0" fontId="11" fillId="0" borderId="5" xfId="1" applyNumberFormat="1" applyFont="1" applyBorder="1" applyAlignment="1" applyProtection="1">
      <alignment horizontal="left" vertical="center"/>
      <protection locked="0"/>
    </xf>
    <xf numFmtId="3" fontId="11" fillId="0" borderId="5" xfId="0" applyNumberFormat="1" applyFont="1" applyBorder="1" applyAlignment="1" applyProtection="1">
      <alignment horizontal="left" vertical="center"/>
      <protection locked="0"/>
    </xf>
    <xf numFmtId="0" fontId="11" fillId="0" borderId="5" xfId="1" applyNumberFormat="1" applyFont="1" applyFill="1" applyBorder="1" applyAlignment="1" applyProtection="1">
      <alignment horizontal="left" vertical="center"/>
      <protection locked="0"/>
    </xf>
    <xf numFmtId="171" fontId="11" fillId="0" borderId="5" xfId="0" applyNumberFormat="1" applyFont="1" applyBorder="1" applyAlignment="1" applyProtection="1">
      <alignment horizontal="left" vertical="center"/>
      <protection locked="0"/>
    </xf>
    <xf numFmtId="174" fontId="11" fillId="0" borderId="5" xfId="1" applyNumberFormat="1" applyFont="1" applyFill="1" applyBorder="1" applyAlignment="1">
      <alignment horizontal="right" vertical="center"/>
    </xf>
    <xf numFmtId="1" fontId="11" fillId="3" borderId="5" xfId="0" applyNumberFormat="1" applyFont="1" applyFill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33" fillId="0" borderId="0" xfId="0" applyFont="1" applyAlignment="1">
      <alignment horizontal="center" vertical="center"/>
    </xf>
    <xf numFmtId="171" fontId="24" fillId="4" borderId="41" xfId="0" applyNumberFormat="1" applyFont="1" applyFill="1" applyBorder="1" applyAlignment="1">
      <alignment horizontal="center" vertical="center"/>
    </xf>
    <xf numFmtId="0" fontId="24" fillId="4" borderId="41" xfId="0" applyFont="1" applyFill="1" applyBorder="1" applyAlignment="1">
      <alignment horizontal="center" vertical="center"/>
    </xf>
    <xf numFmtId="0" fontId="24" fillId="4" borderId="10" xfId="0" applyFont="1" applyFill="1" applyBorder="1" applyAlignment="1">
      <alignment horizontal="center" vertical="center"/>
    </xf>
    <xf numFmtId="174" fontId="24" fillId="4" borderId="10" xfId="1" applyNumberFormat="1" applyFont="1" applyFill="1" applyBorder="1" applyAlignment="1">
      <alignment horizontal="center" vertical="center"/>
    </xf>
    <xf numFmtId="174" fontId="11" fillId="0" borderId="5" xfId="1" applyNumberFormat="1" applyFont="1" applyFill="1" applyBorder="1" applyAlignment="1">
      <alignment horizontal="center" vertical="center"/>
    </xf>
    <xf numFmtId="175" fontId="46" fillId="0" borderId="0" xfId="1" applyNumberFormat="1" applyFont="1" applyAlignment="1">
      <alignment horizontal="right" vertical="center"/>
    </xf>
    <xf numFmtId="0" fontId="42" fillId="0" borderId="5" xfId="0" applyFont="1" applyBorder="1" applyAlignment="1">
      <alignment horizontal="left" vertical="center"/>
    </xf>
    <xf numFmtId="49" fontId="10" fillId="0" borderId="5" xfId="0" applyNumberFormat="1" applyFont="1" applyBorder="1" applyAlignment="1" applyProtection="1">
      <alignment horizontal="left" vertical="center" wrapText="1"/>
      <protection locked="0"/>
    </xf>
    <xf numFmtId="0" fontId="42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 wrapText="1"/>
    </xf>
    <xf numFmtId="0" fontId="10" fillId="0" borderId="41" xfId="0" applyFont="1" applyBorder="1" applyAlignment="1">
      <alignment vertical="center"/>
    </xf>
    <xf numFmtId="0" fontId="42" fillId="0" borderId="41" xfId="0" applyFont="1" applyBorder="1" applyAlignment="1">
      <alignment horizontal="left" vertical="center"/>
    </xf>
    <xf numFmtId="49" fontId="10" fillId="0" borderId="41" xfId="0" applyNumberFormat="1" applyFont="1" applyBorder="1" applyAlignment="1" applyProtection="1">
      <alignment horizontal="left" vertical="center" wrapText="1"/>
      <protection locked="0"/>
    </xf>
    <xf numFmtId="49" fontId="10" fillId="0" borderId="5" xfId="0" applyNumberFormat="1" applyFont="1" applyBorder="1" applyAlignment="1">
      <alignment horizontal="left" vertical="top" wrapText="1"/>
    </xf>
    <xf numFmtId="0" fontId="44" fillId="0" borderId="0" xfId="0" applyFont="1" applyAlignment="1">
      <alignment horizontal="left" vertical="center"/>
    </xf>
    <xf numFmtId="0" fontId="49" fillId="0" borderId="5" xfId="0" applyFont="1" applyBorder="1" applyAlignment="1">
      <alignment vertical="center"/>
    </xf>
    <xf numFmtId="0" fontId="42" fillId="0" borderId="0" xfId="0" applyFont="1" applyAlignment="1">
      <alignment vertical="center"/>
    </xf>
    <xf numFmtId="0" fontId="54" fillId="0" borderId="0" xfId="0" applyFont="1" applyAlignment="1">
      <alignment horizontal="center" vertical="center"/>
    </xf>
    <xf numFmtId="174" fontId="54" fillId="0" borderId="0" xfId="0" applyNumberFormat="1" applyFont="1" applyAlignment="1">
      <alignment horizontal="center" vertical="center"/>
    </xf>
    <xf numFmtId="172" fontId="11" fillId="0" borderId="5" xfId="0" applyNumberFormat="1" applyFont="1" applyBorder="1" applyAlignment="1">
      <alignment horizontal="left" vertical="center"/>
    </xf>
    <xf numFmtId="0" fontId="11" fillId="0" borderId="80" xfId="0" applyFont="1" applyBorder="1" applyAlignment="1">
      <alignment vertical="center"/>
    </xf>
    <xf numFmtId="9" fontId="11" fillId="0" borderId="5" xfId="2" applyFont="1" applyFill="1" applyBorder="1" applyAlignment="1">
      <alignment horizontal="center" vertical="center"/>
    </xf>
    <xf numFmtId="164" fontId="11" fillId="0" borderId="5" xfId="1" applyFont="1" applyFill="1" applyBorder="1" applyAlignment="1">
      <alignment horizontal="left" vertical="center"/>
    </xf>
    <xf numFmtId="164" fontId="11" fillId="0" borderId="5" xfId="1" applyFont="1" applyFill="1" applyBorder="1" applyAlignment="1">
      <alignment horizontal="center" vertical="center"/>
    </xf>
    <xf numFmtId="164" fontId="11" fillId="0" borderId="5" xfId="1" applyFont="1" applyFill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164" fontId="11" fillId="0" borderId="5" xfId="1" applyFont="1" applyFill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164" fontId="11" fillId="0" borderId="5" xfId="1" applyFont="1" applyFill="1" applyBorder="1" applyAlignment="1">
      <alignment horizontal="center" vertical="top"/>
    </xf>
    <xf numFmtId="0" fontId="55" fillId="0" borderId="0" xfId="0" applyFont="1"/>
    <xf numFmtId="174" fontId="55" fillId="0" borderId="0" xfId="0" applyNumberFormat="1" applyFont="1"/>
    <xf numFmtId="17" fontId="11" fillId="0" borderId="5" xfId="0" applyNumberFormat="1" applyFont="1" applyBorder="1" applyAlignment="1">
      <alignment vertical="center"/>
    </xf>
    <xf numFmtId="0" fontId="11" fillId="0" borderId="0" xfId="0" applyFont="1" applyAlignment="1">
      <alignment horizontal="right" vertical="center"/>
    </xf>
    <xf numFmtId="0" fontId="19" fillId="0" borderId="4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3" fontId="19" fillId="0" borderId="66" xfId="0" applyNumberFormat="1" applyFont="1" applyBorder="1" applyAlignment="1" applyProtection="1">
      <alignment horizontal="center" vertical="center" wrapText="1"/>
      <protection locked="0"/>
    </xf>
    <xf numFmtId="3" fontId="19" fillId="0" borderId="47" xfId="0" applyNumberFormat="1" applyFont="1" applyBorder="1" applyAlignment="1" applyProtection="1">
      <alignment horizontal="center" vertical="center" wrapText="1"/>
      <protection locked="0"/>
    </xf>
    <xf numFmtId="3" fontId="56" fillId="0" borderId="9" xfId="0" applyNumberFormat="1" applyFont="1" applyBorder="1" applyAlignment="1">
      <alignment horizontal="center" vertical="center" wrapText="1"/>
    </xf>
    <xf numFmtId="3" fontId="56" fillId="0" borderId="5" xfId="0" applyNumberFormat="1" applyFont="1" applyBorder="1" applyAlignment="1">
      <alignment horizontal="center" vertical="center" wrapText="1"/>
    </xf>
    <xf numFmtId="3" fontId="56" fillId="0" borderId="1" xfId="0" applyNumberFormat="1" applyFont="1" applyBorder="1" applyAlignment="1">
      <alignment horizontal="center" vertical="center" wrapText="1"/>
    </xf>
    <xf numFmtId="0" fontId="57" fillId="0" borderId="0" xfId="0" applyFont="1" applyAlignment="1">
      <alignment horizontal="center" vertical="center"/>
    </xf>
    <xf numFmtId="0" fontId="55" fillId="0" borderId="0" xfId="0" applyFont="1" applyAlignment="1">
      <alignment vertical="center"/>
    </xf>
    <xf numFmtId="49" fontId="19" fillId="0" borderId="47" xfId="0" applyNumberFormat="1" applyFont="1" applyBorder="1" applyAlignment="1">
      <alignment horizontal="left" vertical="center" wrapText="1"/>
    </xf>
    <xf numFmtId="3" fontId="19" fillId="0" borderId="14" xfId="0" applyNumberFormat="1" applyFont="1" applyBorder="1" applyAlignment="1" applyProtection="1">
      <alignment horizontal="center" vertical="center" wrapText="1"/>
      <protection locked="0"/>
    </xf>
    <xf numFmtId="3" fontId="19" fillId="0" borderId="17" xfId="0" applyNumberFormat="1" applyFont="1" applyBorder="1" applyAlignment="1" applyProtection="1">
      <alignment horizontal="center" vertical="center" wrapText="1"/>
      <protection locked="0"/>
    </xf>
    <xf numFmtId="3" fontId="19" fillId="0" borderId="76" xfId="0" applyNumberFormat="1" applyFont="1" applyBorder="1" applyAlignment="1" applyProtection="1">
      <alignment horizontal="center" vertical="center" wrapText="1"/>
      <protection locked="0"/>
    </xf>
    <xf numFmtId="3" fontId="19" fillId="0" borderId="49" xfId="0" applyNumberFormat="1" applyFont="1" applyBorder="1" applyAlignment="1" applyProtection="1">
      <alignment horizontal="center" vertical="center" wrapText="1"/>
      <protection locked="0"/>
    </xf>
    <xf numFmtId="3" fontId="19" fillId="0" borderId="10" xfId="0" applyNumberFormat="1" applyFont="1" applyBorder="1" applyAlignment="1" applyProtection="1">
      <alignment horizontal="center" vertical="center" wrapText="1"/>
      <protection locked="0"/>
    </xf>
    <xf numFmtId="3" fontId="19" fillId="0" borderId="77" xfId="0" applyNumberFormat="1" applyFont="1" applyBorder="1" applyAlignment="1" applyProtection="1">
      <alignment horizontal="center" vertical="center" wrapText="1"/>
      <protection locked="0"/>
    </xf>
    <xf numFmtId="3" fontId="19" fillId="0" borderId="27" xfId="0" applyNumberFormat="1" applyFont="1" applyBorder="1" applyAlignment="1" applyProtection="1">
      <alignment horizontal="center" vertical="center" wrapText="1"/>
      <protection locked="0"/>
    </xf>
    <xf numFmtId="3" fontId="19" fillId="0" borderId="25" xfId="0" applyNumberFormat="1" applyFont="1" applyBorder="1" applyAlignment="1" applyProtection="1">
      <alignment horizontal="center" vertical="center" wrapText="1"/>
      <protection locked="0"/>
    </xf>
    <xf numFmtId="3" fontId="19" fillId="0" borderId="55" xfId="0" applyNumberFormat="1" applyFont="1" applyBorder="1" applyAlignment="1" applyProtection="1">
      <alignment horizontal="center" vertical="center" wrapText="1"/>
      <protection locked="0"/>
    </xf>
    <xf numFmtId="3" fontId="19" fillId="0" borderId="30" xfId="0" applyNumberFormat="1" applyFont="1" applyBorder="1" applyAlignment="1" applyProtection="1">
      <alignment horizontal="center" vertical="center" wrapText="1"/>
      <protection locked="0"/>
    </xf>
    <xf numFmtId="3" fontId="14" fillId="0" borderId="23" xfId="0" applyNumberFormat="1" applyFont="1" applyBorder="1" applyAlignment="1">
      <alignment horizontal="left" vertical="top" wrapText="1"/>
    </xf>
    <xf numFmtId="3" fontId="14" fillId="0" borderId="25" xfId="0" applyNumberFormat="1" applyFont="1" applyBorder="1" applyAlignment="1">
      <alignment horizontal="left" vertical="top" wrapText="1"/>
    </xf>
    <xf numFmtId="3" fontId="58" fillId="0" borderId="0" xfId="0" applyNumberFormat="1" applyFont="1" applyAlignment="1">
      <alignment horizontal="right" vertical="center"/>
    </xf>
    <xf numFmtId="171" fontId="8" fillId="3" borderId="48" xfId="0" applyNumberFormat="1" applyFont="1" applyFill="1" applyBorder="1" applyAlignment="1">
      <alignment horizontal="left" vertical="center" wrapText="1"/>
    </xf>
    <xf numFmtId="0" fontId="51" fillId="15" borderId="12" xfId="4" applyFont="1" applyFill="1" applyBorder="1" applyAlignment="1">
      <alignment horizontal="center"/>
    </xf>
    <xf numFmtId="0" fontId="51" fillId="15" borderId="13" xfId="4" applyFont="1" applyFill="1" applyBorder="1" applyAlignment="1">
      <alignment horizontal="center"/>
    </xf>
    <xf numFmtId="169" fontId="5" fillId="2" borderId="12" xfId="0" applyNumberFormat="1" applyFont="1" applyFill="1" applyBorder="1" applyAlignment="1">
      <alignment horizontal="center" vertical="center"/>
    </xf>
    <xf numFmtId="169" fontId="5" fillId="2" borderId="13" xfId="0" applyNumberFormat="1" applyFont="1" applyFill="1" applyBorder="1" applyAlignment="1">
      <alignment horizontal="center" vertical="center"/>
    </xf>
    <xf numFmtId="169" fontId="5" fillId="2" borderId="11" xfId="0" applyNumberFormat="1" applyFont="1" applyFill="1" applyBorder="1" applyAlignment="1">
      <alignment horizontal="center" vertical="center"/>
    </xf>
    <xf numFmtId="0" fontId="4" fillId="0" borderId="54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169" fontId="5" fillId="10" borderId="68" xfId="0" applyNumberFormat="1" applyFont="1" applyFill="1" applyBorder="1" applyAlignment="1">
      <alignment horizontal="center" vertical="center"/>
    </xf>
    <xf numFmtId="169" fontId="5" fillId="10" borderId="13" xfId="0" applyNumberFormat="1" applyFont="1" applyFill="1" applyBorder="1" applyAlignment="1">
      <alignment horizontal="center" vertical="center"/>
    </xf>
    <xf numFmtId="169" fontId="5" fillId="10" borderId="16" xfId="0" applyNumberFormat="1" applyFont="1" applyFill="1" applyBorder="1" applyAlignment="1">
      <alignment horizontal="center" vertical="center"/>
    </xf>
    <xf numFmtId="169" fontId="5" fillId="2" borderId="12" xfId="0" applyNumberFormat="1" applyFont="1" applyFill="1" applyBorder="1" applyAlignment="1" applyProtection="1">
      <alignment horizontal="center" vertical="center"/>
      <protection locked="0"/>
    </xf>
    <xf numFmtId="169" fontId="5" fillId="2" borderId="13" xfId="0" applyNumberFormat="1" applyFont="1" applyFill="1" applyBorder="1" applyAlignment="1" applyProtection="1">
      <alignment horizontal="center" vertical="center"/>
      <protection locked="0"/>
    </xf>
    <xf numFmtId="169" fontId="5" fillId="2" borderId="11" xfId="0" applyNumberFormat="1" applyFont="1" applyFill="1" applyBorder="1" applyAlignment="1" applyProtection="1">
      <alignment horizontal="center" vertical="center"/>
      <protection locked="0"/>
    </xf>
    <xf numFmtId="0" fontId="4" fillId="0" borderId="54" xfId="0" applyFont="1" applyBorder="1" applyAlignment="1" applyProtection="1">
      <alignment horizontal="center" vertical="center" wrapText="1"/>
      <protection locked="0"/>
    </xf>
    <xf numFmtId="0" fontId="4" fillId="0" borderId="21" xfId="0" applyFont="1" applyBorder="1" applyAlignment="1" applyProtection="1">
      <alignment horizontal="center" vertical="center" wrapText="1"/>
      <protection locked="0"/>
    </xf>
    <xf numFmtId="169" fontId="5" fillId="10" borderId="68" xfId="0" applyNumberFormat="1" applyFont="1" applyFill="1" applyBorder="1" applyAlignment="1" applyProtection="1">
      <alignment horizontal="center" vertical="center"/>
      <protection locked="0"/>
    </xf>
    <xf numFmtId="169" fontId="5" fillId="10" borderId="13" xfId="0" applyNumberFormat="1" applyFont="1" applyFill="1" applyBorder="1" applyAlignment="1" applyProtection="1">
      <alignment horizontal="center" vertical="center"/>
      <protection locked="0"/>
    </xf>
    <xf numFmtId="169" fontId="5" fillId="10" borderId="16" xfId="0" applyNumberFormat="1" applyFont="1" applyFill="1" applyBorder="1" applyAlignment="1" applyProtection="1">
      <alignment horizontal="center" vertical="center"/>
      <protection locked="0"/>
    </xf>
    <xf numFmtId="0" fontId="13" fillId="8" borderId="14" xfId="0" applyFont="1" applyFill="1" applyBorder="1" applyAlignment="1">
      <alignment horizontal="center" vertical="center"/>
    </xf>
    <xf numFmtId="0" fontId="13" fillId="8" borderId="17" xfId="0" applyFont="1" applyFill="1" applyBorder="1" applyAlignment="1">
      <alignment horizontal="center" vertical="center"/>
    </xf>
    <xf numFmtId="0" fontId="22" fillId="17" borderId="23" xfId="0" applyFont="1" applyFill="1" applyBorder="1" applyAlignment="1">
      <alignment horizontal="left" vertical="center" wrapText="1" indent="14"/>
    </xf>
    <xf numFmtId="0" fontId="22" fillId="17" borderId="22" xfId="0" applyFont="1" applyFill="1" applyBorder="1" applyAlignment="1">
      <alignment horizontal="left" vertical="center" wrapText="1" indent="14"/>
    </xf>
    <xf numFmtId="0" fontId="15" fillId="10" borderId="23" xfId="0" applyFont="1" applyFill="1" applyBorder="1" applyAlignment="1">
      <alignment horizontal="left" vertical="center" wrapText="1"/>
    </xf>
    <xf numFmtId="0" fontId="15" fillId="10" borderId="22" xfId="0" applyFont="1" applyFill="1" applyBorder="1" applyAlignment="1">
      <alignment horizontal="left" vertical="center" wrapText="1"/>
    </xf>
    <xf numFmtId="0" fontId="15" fillId="11" borderId="36" xfId="0" applyFont="1" applyFill="1" applyBorder="1" applyAlignment="1">
      <alignment horizontal="center" vertical="center" wrapText="1"/>
    </xf>
    <xf numFmtId="0" fontId="15" fillId="11" borderId="28" xfId="0" applyFont="1" applyFill="1" applyBorder="1" applyAlignment="1">
      <alignment horizontal="center" vertical="center" wrapText="1"/>
    </xf>
    <xf numFmtId="0" fontId="15" fillId="11" borderId="32" xfId="0" applyFont="1" applyFill="1" applyBorder="1" applyAlignment="1">
      <alignment horizontal="center" vertical="center" wrapText="1"/>
    </xf>
    <xf numFmtId="0" fontId="17" fillId="2" borderId="54" xfId="0" applyFont="1" applyFill="1" applyBorder="1" applyAlignment="1">
      <alignment horizontal="left" vertical="top" wrapText="1"/>
    </xf>
    <xf numFmtId="0" fontId="17" fillId="2" borderId="18" xfId="0" applyFont="1" applyFill="1" applyBorder="1" applyAlignment="1">
      <alignment horizontal="left" vertical="top" wrapText="1"/>
    </xf>
    <xf numFmtId="0" fontId="15" fillId="10" borderId="23" xfId="0" applyFont="1" applyFill="1" applyBorder="1" applyAlignment="1">
      <alignment horizontal="center" vertical="center" wrapText="1"/>
    </xf>
    <xf numFmtId="0" fontId="15" fillId="10" borderId="22" xfId="0" applyFont="1" applyFill="1" applyBorder="1" applyAlignment="1">
      <alignment horizontal="center" vertical="center" wrapText="1"/>
    </xf>
    <xf numFmtId="0" fontId="15" fillId="16" borderId="54" xfId="0" applyFont="1" applyFill="1" applyBorder="1" applyAlignment="1">
      <alignment horizontal="center" vertical="center" wrapText="1"/>
    </xf>
    <xf numFmtId="0" fontId="15" fillId="16" borderId="18" xfId="0" applyFont="1" applyFill="1" applyBorder="1" applyAlignment="1">
      <alignment horizontal="center" vertical="center" wrapText="1"/>
    </xf>
    <xf numFmtId="0" fontId="15" fillId="16" borderId="21" xfId="0" applyFont="1" applyFill="1" applyBorder="1" applyAlignment="1">
      <alignment horizontal="center" vertical="center" wrapText="1"/>
    </xf>
    <xf numFmtId="0" fontId="15" fillId="16" borderId="20" xfId="0" applyFont="1" applyFill="1" applyBorder="1" applyAlignment="1">
      <alignment horizontal="center" vertical="center" wrapText="1"/>
    </xf>
    <xf numFmtId="0" fontId="15" fillId="10" borderId="27" xfId="0" applyFont="1" applyFill="1" applyBorder="1" applyAlignment="1">
      <alignment horizontal="left" vertical="center" wrapText="1"/>
    </xf>
    <xf numFmtId="0" fontId="15" fillId="10" borderId="25" xfId="0" applyFont="1" applyFill="1" applyBorder="1" applyAlignment="1">
      <alignment horizontal="left" vertical="center" wrapText="1"/>
    </xf>
    <xf numFmtId="0" fontId="15" fillId="10" borderId="55" xfId="0" applyFont="1" applyFill="1" applyBorder="1" applyAlignment="1">
      <alignment horizontal="left" vertical="center" wrapText="1"/>
    </xf>
    <xf numFmtId="0" fontId="15" fillId="0" borderId="54" xfId="0" applyFont="1" applyBorder="1" applyAlignment="1">
      <alignment horizontal="center" vertical="center" wrapText="1"/>
    </xf>
    <xf numFmtId="0" fontId="15" fillId="0" borderId="53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5" fillId="6" borderId="23" xfId="0" applyFont="1" applyFill="1" applyBorder="1" applyAlignment="1">
      <alignment horizontal="left" vertical="center" wrapText="1"/>
    </xf>
    <xf numFmtId="0" fontId="15" fillId="6" borderId="22" xfId="0" applyFont="1" applyFill="1" applyBorder="1" applyAlignment="1">
      <alignment horizontal="left" vertical="center" wrapText="1"/>
    </xf>
    <xf numFmtId="0" fontId="17" fillId="0" borderId="46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49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15" fillId="6" borderId="21" xfId="0" applyFont="1" applyFill="1" applyBorder="1" applyAlignment="1">
      <alignment horizontal="left" vertical="center" wrapText="1"/>
    </xf>
    <xf numFmtId="0" fontId="15" fillId="6" borderId="20" xfId="0" applyFont="1" applyFill="1" applyBorder="1" applyAlignment="1">
      <alignment horizontal="left" vertical="center" wrapText="1"/>
    </xf>
    <xf numFmtId="0" fontId="20" fillId="2" borderId="58" xfId="0" applyFont="1" applyFill="1" applyBorder="1" applyAlignment="1">
      <alignment horizontal="center" vertical="center" wrapText="1"/>
    </xf>
    <xf numFmtId="0" fontId="20" fillId="2" borderId="61" xfId="0" applyFont="1" applyFill="1" applyBorder="1" applyAlignment="1">
      <alignment horizontal="center" vertical="center" wrapText="1"/>
    </xf>
    <xf numFmtId="0" fontId="21" fillId="17" borderId="23" xfId="0" applyFont="1" applyFill="1" applyBorder="1" applyAlignment="1">
      <alignment horizontal="center" vertical="center" wrapText="1"/>
    </xf>
    <xf numFmtId="0" fontId="21" fillId="17" borderId="22" xfId="0" applyFont="1" applyFill="1" applyBorder="1" applyAlignment="1">
      <alignment horizontal="center" vertical="center" wrapText="1"/>
    </xf>
    <xf numFmtId="0" fontId="21" fillId="17" borderId="50" xfId="0" applyFont="1" applyFill="1" applyBorder="1" applyAlignment="1">
      <alignment horizontal="center" vertical="center" wrapText="1"/>
    </xf>
    <xf numFmtId="0" fontId="17" fillId="12" borderId="36" xfId="0" applyFont="1" applyFill="1" applyBorder="1" applyAlignment="1">
      <alignment horizontal="center" vertical="center" wrapText="1"/>
    </xf>
    <xf numFmtId="0" fontId="17" fillId="12" borderId="32" xfId="0" applyFont="1" applyFill="1" applyBorder="1" applyAlignment="1">
      <alignment horizontal="center" vertical="center" wrapText="1"/>
    </xf>
    <xf numFmtId="0" fontId="17" fillId="12" borderId="28" xfId="0" applyFont="1" applyFill="1" applyBorder="1" applyAlignment="1">
      <alignment horizontal="center" vertical="center" wrapText="1"/>
    </xf>
    <xf numFmtId="0" fontId="9" fillId="28" borderId="5" xfId="0" applyFont="1" applyFill="1" applyBorder="1" applyAlignment="1">
      <alignment horizontal="center" vertical="center"/>
    </xf>
  </cellXfs>
  <cellStyles count="12">
    <cellStyle name="Milliers" xfId="1" builtinId="3"/>
    <cellStyle name="Milliers [0]" xfId="11" builtinId="6"/>
    <cellStyle name="Milliers 2" xfId="7"/>
    <cellStyle name="Milliers 3" xfId="8"/>
    <cellStyle name="Milliers 4" xfId="6"/>
    <cellStyle name="Milliers 5" xfId="3"/>
    <cellStyle name="Normal" xfId="0" builtinId="0"/>
    <cellStyle name="Normal 2" xfId="4"/>
    <cellStyle name="Normal 2 2" xfId="10"/>
    <cellStyle name="Normal 2 3" xfId="9"/>
    <cellStyle name="Pourcentage" xfId="2" builtinId="5"/>
    <cellStyle name="Pourcentage 2" xfId="5"/>
  </cellStyles>
  <dxfs count="28"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72" formatCode="[$-40C]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74" formatCode="_-* #,##0\ [$XAF]_-;\-* #,##0\ [$XAF]_-;_-* &quot;-&quot;\ [$XAF]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72" formatCode="[$-40C]mmm\-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indexed="64"/>
          <bgColor rgb="FFFFCD1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id="1" name="Tableau1345679" displayName="Tableau1345679" ref="A2:O476" totalsRowShown="0" headerRowDxfId="27" dataDxfId="26" tableBorderDxfId="25">
  <autoFilter ref="A2:O476"/>
  <sortState ref="A137:O337">
    <sortCondition ref="J2:J476"/>
  </sortState>
  <tableColumns count="15">
    <tableColumn id="1" name="Date" dataDxfId="24"/>
    <tableColumn id="2" name="Commercial en charge" dataDxfId="23"/>
    <tableColumn id="4" name="Client" dataDxfId="22"/>
    <tableColumn id="6" name="Nom du projet " dataDxfId="21"/>
    <tableColumn id="3" name="Marques" dataDxfId="20"/>
    <tableColumn id="15" name="Modèle" dataDxfId="19"/>
    <tableColumn id="16" name="Qté" dataDxfId="18"/>
    <tableColumn id="21" name="CA Potentiel" dataDxfId="17"/>
    <tableColumn id="24" name="Marge prévisonnelle _x000a_%" dataDxfId="16"/>
    <tableColumn id="18" name="Date de closing prévue" dataDxfId="15"/>
    <tableColumn id="5" name="WIN ou LOST" dataDxfId="14"/>
    <tableColumn id="7" name="Marque de la concurrence" dataDxfId="13"/>
    <tableColumn id="11" name="Modèle de la concurrence" dataDxfId="12"/>
    <tableColumn id="8" name="Prix de la concurrence" dataDxfId="11"/>
    <tableColumn id="9" name="commentaires" dataDxfId="1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S96"/>
  <sheetViews>
    <sheetView showGridLines="0" view="pageBreakPreview" topLeftCell="H64" zoomScale="60" zoomScaleNormal="100" workbookViewId="0">
      <selection activeCell="S1" activeCellId="2" sqref="Q1:Q95 R1:R95 S1:S95"/>
    </sheetView>
  </sheetViews>
  <sheetFormatPr baseColWidth="10" defaultRowHeight="15" x14ac:dyDescent="0.25"/>
  <cols>
    <col min="2" max="2" width="18.85546875" bestFit="1" customWidth="1"/>
    <col min="4" max="4" width="18.140625" bestFit="1" customWidth="1"/>
    <col min="17" max="19" width="19.28515625" bestFit="1" customWidth="1"/>
  </cols>
  <sheetData>
    <row r="1" spans="1:19" x14ac:dyDescent="0.25">
      <c r="A1" t="s">
        <v>1166</v>
      </c>
      <c r="B1" s="607"/>
      <c r="C1" s="607"/>
      <c r="D1" s="607"/>
      <c r="E1" s="738">
        <v>2025</v>
      </c>
      <c r="F1" s="739"/>
      <c r="G1" s="739"/>
      <c r="H1" s="739"/>
      <c r="I1" s="739"/>
      <c r="J1" s="739"/>
      <c r="K1" s="739"/>
      <c r="L1" s="739"/>
      <c r="M1" s="739"/>
      <c r="N1" s="739"/>
      <c r="O1" s="739"/>
      <c r="P1" s="739"/>
      <c r="Q1" s="635">
        <v>2025</v>
      </c>
      <c r="R1" s="634" t="s">
        <v>1165</v>
      </c>
      <c r="S1" s="634" t="s">
        <v>1164</v>
      </c>
    </row>
    <row r="2" spans="1:19" ht="15.75" thickBot="1" x14ac:dyDescent="0.3">
      <c r="A2" s="607"/>
      <c r="B2" s="607"/>
      <c r="C2" s="607"/>
      <c r="D2" s="607"/>
      <c r="E2" s="633" t="s">
        <v>367</v>
      </c>
      <c r="F2" s="633" t="s">
        <v>368</v>
      </c>
      <c r="G2" s="633" t="s">
        <v>369</v>
      </c>
      <c r="H2" s="633" t="s">
        <v>370</v>
      </c>
      <c r="I2" s="633" t="s">
        <v>371</v>
      </c>
      <c r="J2" s="633" t="s">
        <v>372</v>
      </c>
      <c r="K2" s="633" t="s">
        <v>373</v>
      </c>
      <c r="L2" s="633" t="s">
        <v>374</v>
      </c>
      <c r="M2" s="633" t="s">
        <v>375</v>
      </c>
      <c r="N2" s="633" t="s">
        <v>376</v>
      </c>
      <c r="O2" s="633" t="s">
        <v>377</v>
      </c>
      <c r="P2" s="643" t="s">
        <v>378</v>
      </c>
      <c r="Q2" s="636" t="s">
        <v>1163</v>
      </c>
      <c r="R2" s="632" t="s">
        <v>1163</v>
      </c>
      <c r="S2" s="632" t="s">
        <v>1163</v>
      </c>
    </row>
    <row r="3" spans="1:19" x14ac:dyDescent="0.25">
      <c r="A3" s="639" t="s">
        <v>1162</v>
      </c>
      <c r="B3" s="640" t="s">
        <v>1161</v>
      </c>
      <c r="C3" s="640" t="s">
        <v>1160</v>
      </c>
      <c r="D3" s="641" t="s">
        <v>1159</v>
      </c>
      <c r="E3" s="642" t="s">
        <v>1158</v>
      </c>
      <c r="F3" s="642" t="s">
        <v>1158</v>
      </c>
      <c r="G3" s="642" t="s">
        <v>1158</v>
      </c>
      <c r="H3" s="642" t="s">
        <v>1158</v>
      </c>
      <c r="I3" s="642" t="s">
        <v>1158</v>
      </c>
      <c r="J3" s="642" t="s">
        <v>1158</v>
      </c>
      <c r="K3" s="642" t="s">
        <v>1158</v>
      </c>
      <c r="L3" s="642" t="s">
        <v>1158</v>
      </c>
      <c r="M3" s="642" t="s">
        <v>1158</v>
      </c>
      <c r="N3" s="642" t="s">
        <v>1158</v>
      </c>
      <c r="O3" s="642" t="s">
        <v>1158</v>
      </c>
      <c r="P3" s="644" t="s">
        <v>1158</v>
      </c>
      <c r="Q3" s="631" t="s">
        <v>1158</v>
      </c>
      <c r="R3" s="631" t="s">
        <v>1157</v>
      </c>
      <c r="S3" s="631" t="s">
        <v>1156</v>
      </c>
    </row>
    <row r="4" spans="1:19" x14ac:dyDescent="0.25">
      <c r="A4" s="630" t="s">
        <v>1146</v>
      </c>
      <c r="B4" s="630" t="s">
        <v>1145</v>
      </c>
      <c r="C4" s="630" t="s">
        <v>1154</v>
      </c>
      <c r="D4" s="630" t="s">
        <v>70</v>
      </c>
      <c r="E4" s="629">
        <v>0</v>
      </c>
      <c r="F4" s="629">
        <v>571.68381464028892</v>
      </c>
      <c r="G4" s="629">
        <v>0</v>
      </c>
      <c r="H4" s="629">
        <v>0</v>
      </c>
      <c r="I4" s="629">
        <v>815.60224222014551</v>
      </c>
      <c r="J4" s="629">
        <v>0</v>
      </c>
      <c r="K4" s="629">
        <v>0</v>
      </c>
      <c r="L4" s="629">
        <v>815.60224222014551</v>
      </c>
      <c r="M4" s="629">
        <v>0</v>
      </c>
      <c r="N4" s="629">
        <v>243.9184275798566</v>
      </c>
      <c r="O4" s="629">
        <v>571.68381464028892</v>
      </c>
      <c r="P4" s="645">
        <v>0</v>
      </c>
      <c r="Q4" s="637">
        <v>3018.4905413007255</v>
      </c>
      <c r="R4" s="637">
        <v>3590.1743559410143</v>
      </c>
      <c r="S4" s="637">
        <v>3917.9397430014474</v>
      </c>
    </row>
    <row r="5" spans="1:19" x14ac:dyDescent="0.25">
      <c r="A5" s="630" t="s">
        <v>1146</v>
      </c>
      <c r="B5" s="630" t="s">
        <v>1143</v>
      </c>
      <c r="C5" s="630" t="s">
        <v>1154</v>
      </c>
      <c r="D5" s="630" t="s">
        <v>70</v>
      </c>
      <c r="E5" s="629">
        <v>0</v>
      </c>
      <c r="F5" s="629">
        <v>1</v>
      </c>
      <c r="G5" s="629">
        <v>0</v>
      </c>
      <c r="H5" s="629">
        <v>0</v>
      </c>
      <c r="I5" s="629">
        <v>2</v>
      </c>
      <c r="J5" s="629">
        <v>0</v>
      </c>
      <c r="K5" s="629">
        <v>0</v>
      </c>
      <c r="L5" s="629">
        <v>2</v>
      </c>
      <c r="M5" s="629">
        <v>0</v>
      </c>
      <c r="N5" s="629">
        <v>1</v>
      </c>
      <c r="O5" s="629">
        <v>1</v>
      </c>
      <c r="P5" s="645">
        <v>0</v>
      </c>
      <c r="Q5" s="637">
        <v>7</v>
      </c>
      <c r="R5" s="637">
        <v>0</v>
      </c>
      <c r="S5" s="637">
        <v>0</v>
      </c>
    </row>
    <row r="6" spans="1:19" x14ac:dyDescent="0.25">
      <c r="A6" s="630" t="s">
        <v>1146</v>
      </c>
      <c r="B6" s="630" t="s">
        <v>1145</v>
      </c>
      <c r="C6" s="630" t="s">
        <v>1154</v>
      </c>
      <c r="D6" s="630" t="s">
        <v>28</v>
      </c>
      <c r="E6" s="629">
        <v>345.36273719161466</v>
      </c>
      <c r="F6" s="629">
        <v>321.45208756061754</v>
      </c>
      <c r="G6" s="629">
        <v>558.34996501295041</v>
      </c>
      <c r="H6" s="629">
        <v>393.34430610543075</v>
      </c>
      <c r="I6" s="629">
        <v>362.79081250752722</v>
      </c>
      <c r="J6" s="629">
        <v>278.40859538048994</v>
      </c>
      <c r="K6" s="629">
        <v>129.83758386601559</v>
      </c>
      <c r="L6" s="629">
        <v>154.73515642031415</v>
      </c>
      <c r="M6" s="629">
        <v>355.15981535375033</v>
      </c>
      <c r="N6" s="629">
        <v>342.42478851510089</v>
      </c>
      <c r="O6" s="629">
        <v>304.18579723975813</v>
      </c>
      <c r="P6" s="645">
        <v>341.32307148181974</v>
      </c>
      <c r="Q6" s="637">
        <v>3887.3747166353901</v>
      </c>
      <c r="R6" s="637">
        <v>8359.3240090432773</v>
      </c>
      <c r="S6" s="637">
        <v>9255.773870848243</v>
      </c>
    </row>
    <row r="7" spans="1:19" x14ac:dyDescent="0.25">
      <c r="A7" s="630" t="s">
        <v>1146</v>
      </c>
      <c r="B7" s="630" t="s">
        <v>1143</v>
      </c>
      <c r="C7" s="630" t="s">
        <v>1154</v>
      </c>
      <c r="D7" s="630" t="s">
        <v>28</v>
      </c>
      <c r="E7" s="629">
        <v>2</v>
      </c>
      <c r="F7" s="629">
        <v>4</v>
      </c>
      <c r="G7" s="629">
        <v>5</v>
      </c>
      <c r="H7" s="629">
        <v>3</v>
      </c>
      <c r="I7" s="629">
        <v>3</v>
      </c>
      <c r="J7" s="629">
        <v>4</v>
      </c>
      <c r="K7" s="629">
        <v>0</v>
      </c>
      <c r="L7" s="629">
        <v>1</v>
      </c>
      <c r="M7" s="629">
        <v>6</v>
      </c>
      <c r="N7" s="629">
        <v>3</v>
      </c>
      <c r="O7" s="629">
        <v>2</v>
      </c>
      <c r="P7" s="645">
        <v>6</v>
      </c>
      <c r="Q7" s="637">
        <v>39</v>
      </c>
      <c r="R7" s="637">
        <v>29</v>
      </c>
      <c r="S7" s="637">
        <v>28</v>
      </c>
    </row>
    <row r="8" spans="1:19" x14ac:dyDescent="0.25">
      <c r="A8" s="630" t="s">
        <v>1144</v>
      </c>
      <c r="B8" s="630" t="s">
        <v>1145</v>
      </c>
      <c r="C8" s="630" t="s">
        <v>1154</v>
      </c>
      <c r="D8" s="630" t="s">
        <v>40</v>
      </c>
      <c r="E8" s="629">
        <v>0</v>
      </c>
      <c r="F8" s="629">
        <v>328.5276321466194</v>
      </c>
      <c r="G8" s="629">
        <v>32.776538706043233</v>
      </c>
      <c r="H8" s="629">
        <v>32.776538706043233</v>
      </c>
      <c r="I8" s="629">
        <v>92.231655428633275</v>
      </c>
      <c r="J8" s="629">
        <v>32.776538706043233</v>
      </c>
      <c r="K8" s="629">
        <v>0</v>
      </c>
      <c r="L8" s="629">
        <v>32.776538706043233</v>
      </c>
      <c r="M8" s="629">
        <v>0</v>
      </c>
      <c r="N8" s="629">
        <v>32.776538706043233</v>
      </c>
      <c r="O8" s="629">
        <v>32.776538706043233</v>
      </c>
      <c r="P8" s="645">
        <v>92.231655428633275</v>
      </c>
      <c r="Q8" s="637">
        <v>709.65017524014536</v>
      </c>
      <c r="R8" s="637">
        <v>610.55831403582852</v>
      </c>
      <c r="S8" s="637">
        <v>768.34304687654833</v>
      </c>
    </row>
    <row r="9" spans="1:19" x14ac:dyDescent="0.25">
      <c r="A9" s="630" t="s">
        <v>1144</v>
      </c>
      <c r="B9" s="630" t="s">
        <v>1143</v>
      </c>
      <c r="C9" s="630" t="s">
        <v>1154</v>
      </c>
      <c r="D9" s="630" t="s">
        <v>40</v>
      </c>
      <c r="E9" s="629">
        <v>0</v>
      </c>
      <c r="F9" s="629">
        <v>4</v>
      </c>
      <c r="G9" s="629">
        <v>1</v>
      </c>
      <c r="H9" s="629">
        <v>1</v>
      </c>
      <c r="I9" s="629">
        <v>2</v>
      </c>
      <c r="J9" s="629">
        <v>1</v>
      </c>
      <c r="K9" s="629">
        <v>0</v>
      </c>
      <c r="L9" s="629">
        <v>1</v>
      </c>
      <c r="M9" s="629">
        <v>0</v>
      </c>
      <c r="N9" s="629">
        <v>1</v>
      </c>
      <c r="O9" s="629">
        <v>1</v>
      </c>
      <c r="P9" s="645">
        <v>2</v>
      </c>
      <c r="Q9" s="637">
        <v>14</v>
      </c>
      <c r="R9" s="637">
        <v>17</v>
      </c>
      <c r="S9" s="637">
        <v>21</v>
      </c>
    </row>
    <row r="10" spans="1:19" x14ac:dyDescent="0.25">
      <c r="A10" s="630" t="s">
        <v>1144</v>
      </c>
      <c r="B10" s="630" t="s">
        <v>1145</v>
      </c>
      <c r="C10" s="630" t="s">
        <v>1154</v>
      </c>
      <c r="D10" s="630" t="s">
        <v>38</v>
      </c>
      <c r="E10" s="629">
        <v>36.587764136978493</v>
      </c>
      <c r="F10" s="629">
        <v>36.587764136978493</v>
      </c>
      <c r="G10" s="629">
        <v>54.881646205467739</v>
      </c>
      <c r="H10" s="629">
        <v>36.587764136978493</v>
      </c>
      <c r="I10" s="629">
        <v>36.587764136978493</v>
      </c>
      <c r="J10" s="629">
        <v>54.881646205467739</v>
      </c>
      <c r="K10" s="629">
        <v>36.587764136978493</v>
      </c>
      <c r="L10" s="629">
        <v>54.881646205467739</v>
      </c>
      <c r="M10" s="629">
        <v>54.881646205467739</v>
      </c>
      <c r="N10" s="629">
        <v>54.881646205467739</v>
      </c>
      <c r="O10" s="629">
        <v>36.587764136978493</v>
      </c>
      <c r="P10" s="645">
        <v>54.881646205467739</v>
      </c>
      <c r="Q10" s="637">
        <v>548.81646205467757</v>
      </c>
      <c r="R10" s="637">
        <v>212.98690000000002</v>
      </c>
      <c r="S10" s="637">
        <v>243.41360000000003</v>
      </c>
    </row>
    <row r="11" spans="1:19" x14ac:dyDescent="0.25">
      <c r="A11" s="630" t="s">
        <v>1144</v>
      </c>
      <c r="B11" s="630" t="s">
        <v>1143</v>
      </c>
      <c r="C11" s="630" t="s">
        <v>1154</v>
      </c>
      <c r="D11" s="630" t="s">
        <v>38</v>
      </c>
      <c r="E11" s="629">
        <v>2</v>
      </c>
      <c r="F11" s="629">
        <v>2</v>
      </c>
      <c r="G11" s="629">
        <v>3</v>
      </c>
      <c r="H11" s="629">
        <v>2</v>
      </c>
      <c r="I11" s="629">
        <v>2</v>
      </c>
      <c r="J11" s="629">
        <v>3</v>
      </c>
      <c r="K11" s="629">
        <v>2</v>
      </c>
      <c r="L11" s="629">
        <v>3</v>
      </c>
      <c r="M11" s="629">
        <v>3</v>
      </c>
      <c r="N11" s="629">
        <v>3</v>
      </c>
      <c r="O11" s="629">
        <v>2</v>
      </c>
      <c r="P11" s="645">
        <v>3</v>
      </c>
      <c r="Q11" s="637">
        <v>30</v>
      </c>
      <c r="R11" s="637">
        <v>35</v>
      </c>
      <c r="S11" s="637">
        <v>40</v>
      </c>
    </row>
    <row r="12" spans="1:19" x14ac:dyDescent="0.25">
      <c r="A12" s="630" t="s">
        <v>1146</v>
      </c>
      <c r="B12" s="630" t="s">
        <v>1145</v>
      </c>
      <c r="C12" s="630" t="s">
        <v>1153</v>
      </c>
      <c r="D12" s="630" t="s">
        <v>70</v>
      </c>
      <c r="E12" s="629">
        <v>191.84100482196243</v>
      </c>
      <c r="F12" s="629">
        <v>0</v>
      </c>
      <c r="G12" s="629">
        <v>0</v>
      </c>
      <c r="H12" s="629">
        <v>0</v>
      </c>
      <c r="I12" s="629">
        <v>0</v>
      </c>
      <c r="J12" s="629">
        <v>0</v>
      </c>
      <c r="K12" s="629">
        <v>0</v>
      </c>
      <c r="L12" s="629">
        <v>0</v>
      </c>
      <c r="M12" s="629">
        <v>0</v>
      </c>
      <c r="N12" s="629">
        <v>0</v>
      </c>
      <c r="O12" s="629">
        <v>0</v>
      </c>
      <c r="P12" s="645">
        <v>191.84100482196243</v>
      </c>
      <c r="Q12" s="637">
        <v>383.68200964392486</v>
      </c>
      <c r="R12" s="637">
        <v>383.68200964392486</v>
      </c>
      <c r="S12" s="637">
        <v>959.20502410981203</v>
      </c>
    </row>
    <row r="13" spans="1:19" x14ac:dyDescent="0.25">
      <c r="A13" s="630" t="s">
        <v>1146</v>
      </c>
      <c r="B13" s="630" t="s">
        <v>1143</v>
      </c>
      <c r="C13" s="630" t="s">
        <v>1153</v>
      </c>
      <c r="D13" s="630" t="s">
        <v>70</v>
      </c>
      <c r="E13" s="629">
        <v>1</v>
      </c>
      <c r="F13" s="629">
        <v>0</v>
      </c>
      <c r="G13" s="629">
        <v>0</v>
      </c>
      <c r="H13" s="629">
        <v>0</v>
      </c>
      <c r="I13" s="629">
        <v>0</v>
      </c>
      <c r="J13" s="629">
        <v>0</v>
      </c>
      <c r="K13" s="629">
        <v>0</v>
      </c>
      <c r="L13" s="629">
        <v>0</v>
      </c>
      <c r="M13" s="629">
        <v>0</v>
      </c>
      <c r="N13" s="629">
        <v>0</v>
      </c>
      <c r="O13" s="629">
        <v>0</v>
      </c>
      <c r="P13" s="645">
        <v>1</v>
      </c>
      <c r="Q13" s="637">
        <v>2</v>
      </c>
      <c r="R13" s="637">
        <v>2</v>
      </c>
      <c r="S13" s="637">
        <v>5</v>
      </c>
    </row>
    <row r="14" spans="1:19" x14ac:dyDescent="0.25">
      <c r="A14" s="630" t="s">
        <v>1146</v>
      </c>
      <c r="B14" s="630" t="s">
        <v>1145</v>
      </c>
      <c r="C14" s="630" t="s">
        <v>1153</v>
      </c>
      <c r="D14" s="630" t="s">
        <v>28</v>
      </c>
      <c r="E14" s="629">
        <v>32.049609959189397</v>
      </c>
      <c r="F14" s="629">
        <v>165.09126055518882</v>
      </c>
      <c r="G14" s="629">
        <v>141.5137242227768</v>
      </c>
      <c r="H14" s="629">
        <v>34.260347858167535</v>
      </c>
      <c r="I14" s="629">
        <v>55.434569644046789</v>
      </c>
      <c r="J14" s="629">
        <v>34.260347858167535</v>
      </c>
      <c r="K14" s="629">
        <v>34.260347858167535</v>
      </c>
      <c r="L14" s="629">
        <v>87.484179603236186</v>
      </c>
      <c r="M14" s="629">
        <v>32.049609959189397</v>
      </c>
      <c r="N14" s="629">
        <v>70.756862111388401</v>
      </c>
      <c r="O14" s="629">
        <v>130.35157182559223</v>
      </c>
      <c r="P14" s="645">
        <v>32.049609959189397</v>
      </c>
      <c r="Q14" s="637">
        <v>849.5620414143001</v>
      </c>
      <c r="R14" s="637">
        <v>1411.0305690769364</v>
      </c>
      <c r="S14" s="637">
        <v>1264.8773639125734</v>
      </c>
    </row>
    <row r="15" spans="1:19" x14ac:dyDescent="0.25">
      <c r="A15" s="630" t="s">
        <v>1146</v>
      </c>
      <c r="B15" s="630" t="s">
        <v>1143</v>
      </c>
      <c r="C15" s="630" t="s">
        <v>1153</v>
      </c>
      <c r="D15" s="630" t="s">
        <v>28</v>
      </c>
      <c r="E15" s="629">
        <v>1</v>
      </c>
      <c r="F15" s="629">
        <v>2</v>
      </c>
      <c r="G15" s="629">
        <v>2</v>
      </c>
      <c r="H15" s="629">
        <v>1</v>
      </c>
      <c r="I15" s="629">
        <v>1</v>
      </c>
      <c r="J15" s="629">
        <v>1</v>
      </c>
      <c r="K15" s="629">
        <v>1</v>
      </c>
      <c r="L15" s="629">
        <v>2</v>
      </c>
      <c r="M15" s="629">
        <v>1</v>
      </c>
      <c r="N15" s="629">
        <v>1</v>
      </c>
      <c r="O15" s="629">
        <v>1</v>
      </c>
      <c r="P15" s="645">
        <v>1</v>
      </c>
      <c r="Q15" s="637">
        <v>15</v>
      </c>
      <c r="R15" s="637">
        <v>17</v>
      </c>
      <c r="S15" s="637">
        <v>16</v>
      </c>
    </row>
    <row r="16" spans="1:19" x14ac:dyDescent="0.25">
      <c r="A16" s="630" t="s">
        <v>1144</v>
      </c>
      <c r="B16" s="630" t="s">
        <v>1145</v>
      </c>
      <c r="C16" s="630" t="s">
        <v>1153</v>
      </c>
      <c r="D16" s="630" t="s">
        <v>40</v>
      </c>
      <c r="E16" s="629">
        <v>100.76880039392826</v>
      </c>
      <c r="F16" s="629">
        <v>100.76880039392826</v>
      </c>
      <c r="G16" s="629">
        <v>100.76880039392826</v>
      </c>
      <c r="H16" s="629">
        <v>174.70657375407228</v>
      </c>
      <c r="I16" s="629">
        <v>100.76880039392826</v>
      </c>
      <c r="J16" s="629">
        <v>174.70657375407228</v>
      </c>
      <c r="K16" s="629">
        <v>100.76880039392826</v>
      </c>
      <c r="L16" s="629">
        <v>174.70657375407228</v>
      </c>
      <c r="M16" s="629">
        <v>174.70657375407228</v>
      </c>
      <c r="N16" s="629">
        <v>100.76880039392826</v>
      </c>
      <c r="O16" s="629">
        <v>174.70657375407228</v>
      </c>
      <c r="P16" s="645">
        <v>100.76880039392826</v>
      </c>
      <c r="Q16" s="637">
        <v>1578.9144715278594</v>
      </c>
      <c r="R16" s="637">
        <v>2154.8668586507956</v>
      </c>
      <c r="S16" s="637">
        <v>2655.9667783101636</v>
      </c>
    </row>
    <row r="17" spans="1:19" x14ac:dyDescent="0.25">
      <c r="A17" s="630" t="s">
        <v>1144</v>
      </c>
      <c r="B17" s="630" t="s">
        <v>1143</v>
      </c>
      <c r="C17" s="630" t="s">
        <v>1153</v>
      </c>
      <c r="D17" s="630" t="s">
        <v>40</v>
      </c>
      <c r="E17" s="629">
        <v>2</v>
      </c>
      <c r="F17" s="629">
        <v>2</v>
      </c>
      <c r="G17" s="629">
        <v>2</v>
      </c>
      <c r="H17" s="629">
        <v>3</v>
      </c>
      <c r="I17" s="629">
        <v>2</v>
      </c>
      <c r="J17" s="629">
        <v>3</v>
      </c>
      <c r="K17" s="629">
        <v>2</v>
      </c>
      <c r="L17" s="629">
        <v>3</v>
      </c>
      <c r="M17" s="629">
        <v>3</v>
      </c>
      <c r="N17" s="629">
        <v>2</v>
      </c>
      <c r="O17" s="629">
        <v>3</v>
      </c>
      <c r="P17" s="645">
        <v>2</v>
      </c>
      <c r="Q17" s="637">
        <v>29</v>
      </c>
      <c r="R17" s="637">
        <v>42</v>
      </c>
      <c r="S17" s="637">
        <v>55</v>
      </c>
    </row>
    <row r="18" spans="1:19" x14ac:dyDescent="0.25">
      <c r="A18" s="630" t="s">
        <v>1144</v>
      </c>
      <c r="B18" s="630" t="s">
        <v>1145</v>
      </c>
      <c r="C18" s="630" t="s">
        <v>1153</v>
      </c>
      <c r="D18" s="630" t="s">
        <v>38</v>
      </c>
      <c r="E18" s="629">
        <v>45.902399090184268</v>
      </c>
      <c r="F18" s="629">
        <v>93.634186387217454</v>
      </c>
      <c r="G18" s="629">
        <v>60.628974155318105</v>
      </c>
      <c r="H18" s="629">
        <v>97.727442500041917</v>
      </c>
      <c r="I18" s="629">
        <v>87.208460310660612</v>
      </c>
      <c r="J18" s="629">
        <v>71.376629870555533</v>
      </c>
      <c r="K18" s="629">
        <v>75.873875879059142</v>
      </c>
      <c r="L18" s="629">
        <v>71.147956344699423</v>
      </c>
      <c r="M18" s="629">
        <v>74.196936689447625</v>
      </c>
      <c r="N18" s="629">
        <v>48.120532290988585</v>
      </c>
      <c r="O18" s="629">
        <v>121.81438722355276</v>
      </c>
      <c r="P18" s="645">
        <v>132.15805304311107</v>
      </c>
      <c r="Q18" s="637">
        <v>979.78983378483645</v>
      </c>
      <c r="R18" s="637">
        <v>584.68771581064004</v>
      </c>
      <c r="S18" s="637">
        <v>265.42898391205523</v>
      </c>
    </row>
    <row r="19" spans="1:19" x14ac:dyDescent="0.25">
      <c r="A19" s="630" t="s">
        <v>1144</v>
      </c>
      <c r="B19" s="630" t="s">
        <v>1143</v>
      </c>
      <c r="C19" s="630" t="s">
        <v>1153</v>
      </c>
      <c r="D19" s="630" t="s">
        <v>38</v>
      </c>
      <c r="E19" s="629">
        <v>6</v>
      </c>
      <c r="F19" s="629">
        <v>10</v>
      </c>
      <c r="G19" s="629">
        <v>8</v>
      </c>
      <c r="H19" s="629">
        <v>11</v>
      </c>
      <c r="I19" s="629">
        <v>11</v>
      </c>
      <c r="J19" s="629">
        <v>10</v>
      </c>
      <c r="K19" s="629">
        <v>10</v>
      </c>
      <c r="L19" s="629">
        <v>10</v>
      </c>
      <c r="M19" s="629">
        <v>10</v>
      </c>
      <c r="N19" s="629">
        <v>7</v>
      </c>
      <c r="O19" s="629">
        <v>11</v>
      </c>
      <c r="P19" s="645">
        <v>12</v>
      </c>
      <c r="Q19" s="637">
        <v>116</v>
      </c>
      <c r="R19" s="637">
        <v>136</v>
      </c>
      <c r="S19" s="637">
        <v>166</v>
      </c>
    </row>
    <row r="20" spans="1:19" x14ac:dyDescent="0.25">
      <c r="A20" s="630" t="s">
        <v>1146</v>
      </c>
      <c r="B20" s="630" t="s">
        <v>1145</v>
      </c>
      <c r="C20" s="630" t="s">
        <v>1152</v>
      </c>
      <c r="D20" s="630" t="s">
        <v>70</v>
      </c>
      <c r="E20" s="629">
        <v>212.36827261543058</v>
      </c>
      <c r="F20" s="629">
        <v>0</v>
      </c>
      <c r="G20" s="629">
        <v>0</v>
      </c>
      <c r="H20" s="629">
        <v>0</v>
      </c>
      <c r="I20" s="629">
        <v>0</v>
      </c>
      <c r="J20" s="629">
        <v>424.73654523086117</v>
      </c>
      <c r="K20" s="629">
        <v>522.29662157732901</v>
      </c>
      <c r="L20" s="629">
        <v>522.29662157732901</v>
      </c>
      <c r="M20" s="629">
        <v>212.36827261543058</v>
      </c>
      <c r="N20" s="629">
        <v>212.36827261543058</v>
      </c>
      <c r="O20" s="629">
        <v>212.36827261543058</v>
      </c>
      <c r="P20" s="645">
        <v>212.36827261543058</v>
      </c>
      <c r="Q20" s="637">
        <v>2531.1711514626722</v>
      </c>
      <c r="R20" s="637">
        <v>2841.099500462683</v>
      </c>
      <c r="S20" s="637">
        <v>3575.7643946554426</v>
      </c>
    </row>
    <row r="21" spans="1:19" x14ac:dyDescent="0.25">
      <c r="A21" s="630" t="s">
        <v>1146</v>
      </c>
      <c r="B21" s="630" t="s">
        <v>1143</v>
      </c>
      <c r="C21" s="630" t="s">
        <v>1152</v>
      </c>
      <c r="D21" s="630" t="s">
        <v>70</v>
      </c>
      <c r="E21" s="629">
        <v>1</v>
      </c>
      <c r="F21" s="629">
        <v>0</v>
      </c>
      <c r="G21" s="629">
        <v>0</v>
      </c>
      <c r="H21" s="629">
        <v>0</v>
      </c>
      <c r="I21" s="629">
        <v>0</v>
      </c>
      <c r="J21" s="629">
        <v>2</v>
      </c>
      <c r="K21" s="629">
        <v>1</v>
      </c>
      <c r="L21" s="629">
        <v>1</v>
      </c>
      <c r="M21" s="629">
        <v>1</v>
      </c>
      <c r="N21" s="629">
        <v>1</v>
      </c>
      <c r="O21" s="629">
        <v>1</v>
      </c>
      <c r="P21" s="645">
        <v>1</v>
      </c>
      <c r="Q21" s="637">
        <v>9</v>
      </c>
      <c r="R21" s="637">
        <v>9</v>
      </c>
      <c r="S21" s="637">
        <v>11</v>
      </c>
    </row>
    <row r="22" spans="1:19" x14ac:dyDescent="0.25">
      <c r="A22" s="630" t="s">
        <v>1146</v>
      </c>
      <c r="B22" s="630" t="s">
        <v>1145</v>
      </c>
      <c r="C22" s="630" t="s">
        <v>1152</v>
      </c>
      <c r="D22" s="630" t="s">
        <v>28</v>
      </c>
      <c r="E22" s="629">
        <v>117.99020362615232</v>
      </c>
      <c r="F22" s="629">
        <v>399.95990590846657</v>
      </c>
      <c r="G22" s="629">
        <v>396.12733761511811</v>
      </c>
      <c r="H22" s="629">
        <v>479.73263034009847</v>
      </c>
      <c r="I22" s="629">
        <v>298.12701137422118</v>
      </c>
      <c r="J22" s="629">
        <v>161.70343482880742</v>
      </c>
      <c r="K22" s="629">
        <v>286.51039626073049</v>
      </c>
      <c r="L22" s="629">
        <v>29.94174923051358</v>
      </c>
      <c r="M22" s="629">
        <v>164.21884361322464</v>
      </c>
      <c r="N22" s="629">
        <v>444.76009860402439</v>
      </c>
      <c r="O22" s="629">
        <v>243.31396722651027</v>
      </c>
      <c r="P22" s="645">
        <v>314.446678669486</v>
      </c>
      <c r="Q22" s="637">
        <v>3336.8322572973525</v>
      </c>
      <c r="R22" s="637">
        <v>3745.3399439680657</v>
      </c>
      <c r="S22" s="637">
        <v>4050.9422952066066</v>
      </c>
    </row>
    <row r="23" spans="1:19" x14ac:dyDescent="0.25">
      <c r="A23" s="630" t="s">
        <v>1146</v>
      </c>
      <c r="B23" s="630" t="s">
        <v>1143</v>
      </c>
      <c r="C23" s="630" t="s">
        <v>1152</v>
      </c>
      <c r="D23" s="630" t="s">
        <v>28</v>
      </c>
      <c r="E23" s="629">
        <v>4</v>
      </c>
      <c r="F23" s="629">
        <v>4</v>
      </c>
      <c r="G23" s="629">
        <v>6</v>
      </c>
      <c r="H23" s="629">
        <v>7</v>
      </c>
      <c r="I23" s="629">
        <v>3</v>
      </c>
      <c r="J23" s="629">
        <v>3</v>
      </c>
      <c r="K23" s="629">
        <v>4</v>
      </c>
      <c r="L23" s="629">
        <v>1</v>
      </c>
      <c r="M23" s="629">
        <v>3</v>
      </c>
      <c r="N23" s="629">
        <v>5</v>
      </c>
      <c r="O23" s="629">
        <v>4</v>
      </c>
      <c r="P23" s="645">
        <v>3</v>
      </c>
      <c r="Q23" s="637">
        <v>47</v>
      </c>
      <c r="R23" s="637">
        <v>50</v>
      </c>
      <c r="S23" s="637">
        <v>57</v>
      </c>
    </row>
    <row r="24" spans="1:19" x14ac:dyDescent="0.25">
      <c r="A24" s="630" t="s">
        <v>1144</v>
      </c>
      <c r="B24" s="630" t="s">
        <v>1145</v>
      </c>
      <c r="C24" s="630" t="s">
        <v>1152</v>
      </c>
      <c r="D24" s="630" t="s">
        <v>40</v>
      </c>
      <c r="E24" s="629">
        <v>0</v>
      </c>
      <c r="F24" s="629">
        <v>0</v>
      </c>
      <c r="G24" s="629">
        <v>0</v>
      </c>
      <c r="H24" s="629">
        <v>0</v>
      </c>
      <c r="I24" s="629">
        <v>128.81332281522759</v>
      </c>
      <c r="J24" s="629">
        <v>0</v>
      </c>
      <c r="K24" s="629">
        <v>0</v>
      </c>
      <c r="L24" s="629">
        <v>0</v>
      </c>
      <c r="M24" s="629">
        <v>0</v>
      </c>
      <c r="N24" s="629">
        <v>0</v>
      </c>
      <c r="O24" s="629">
        <v>54.968542521842132</v>
      </c>
      <c r="P24" s="645">
        <v>87.411218216264544</v>
      </c>
      <c r="Q24" s="637">
        <v>271.19308355333425</v>
      </c>
      <c r="R24" s="637">
        <v>272.33949833217275</v>
      </c>
      <c r="S24" s="637">
        <v>305.11603589882043</v>
      </c>
    </row>
    <row r="25" spans="1:19" x14ac:dyDescent="0.25">
      <c r="A25" s="630" t="s">
        <v>1144</v>
      </c>
      <c r="B25" s="630" t="s">
        <v>1143</v>
      </c>
      <c r="C25" s="630" t="s">
        <v>1152</v>
      </c>
      <c r="D25" s="630" t="s">
        <v>40</v>
      </c>
      <c r="E25" s="629">
        <v>0</v>
      </c>
      <c r="F25" s="629">
        <v>0</v>
      </c>
      <c r="G25" s="629">
        <v>0</v>
      </c>
      <c r="H25" s="629">
        <v>0</v>
      </c>
      <c r="I25" s="629">
        <v>4</v>
      </c>
      <c r="J25" s="629">
        <v>0</v>
      </c>
      <c r="K25" s="629">
        <v>0</v>
      </c>
      <c r="L25" s="629">
        <v>0</v>
      </c>
      <c r="M25" s="629">
        <v>0</v>
      </c>
      <c r="N25" s="629">
        <v>0</v>
      </c>
      <c r="O25" s="629">
        <v>1</v>
      </c>
      <c r="P25" s="645">
        <v>2</v>
      </c>
      <c r="Q25" s="637">
        <v>7</v>
      </c>
      <c r="R25" s="637">
        <v>7</v>
      </c>
      <c r="S25" s="637">
        <v>8</v>
      </c>
    </row>
    <row r="26" spans="1:19" x14ac:dyDescent="0.25">
      <c r="A26" s="630" t="s">
        <v>1146</v>
      </c>
      <c r="B26" s="630" t="s">
        <v>1145</v>
      </c>
      <c r="C26" s="630" t="s">
        <v>1155</v>
      </c>
      <c r="D26" s="630" t="s">
        <v>28</v>
      </c>
      <c r="E26" s="629">
        <v>119.96298701298701</v>
      </c>
      <c r="F26" s="629">
        <v>148.71994434137292</v>
      </c>
      <c r="G26" s="629">
        <v>168.77560296846013</v>
      </c>
      <c r="H26" s="629">
        <v>105.69582560296845</v>
      </c>
      <c r="I26" s="629">
        <v>82.968552875695707</v>
      </c>
      <c r="J26" s="629">
        <v>119.14666048237478</v>
      </c>
      <c r="K26" s="629">
        <v>125.64016697588124</v>
      </c>
      <c r="L26" s="629">
        <v>137.69953617810762</v>
      </c>
      <c r="M26" s="629">
        <v>292.61604823747683</v>
      </c>
      <c r="N26" s="629">
        <v>280.55667903525051</v>
      </c>
      <c r="O26" s="629">
        <v>266.64202226345077</v>
      </c>
      <c r="P26" s="645">
        <v>258.29322820037106</v>
      </c>
      <c r="Q26" s="637">
        <v>2106.7172541743976</v>
      </c>
      <c r="R26" s="637">
        <v>2215.2133580705013</v>
      </c>
      <c r="S26" s="637">
        <v>2343.2282003710575</v>
      </c>
    </row>
    <row r="27" spans="1:19" x14ac:dyDescent="0.25">
      <c r="A27" s="630" t="s">
        <v>1146</v>
      </c>
      <c r="B27" s="630" t="s">
        <v>1143</v>
      </c>
      <c r="C27" s="630" t="s">
        <v>1155</v>
      </c>
      <c r="D27" s="630" t="s">
        <v>28</v>
      </c>
      <c r="E27" s="629">
        <v>3</v>
      </c>
      <c r="F27" s="629">
        <v>5</v>
      </c>
      <c r="G27" s="629">
        <v>2</v>
      </c>
      <c r="H27" s="629">
        <v>4</v>
      </c>
      <c r="I27" s="629">
        <v>1</v>
      </c>
      <c r="J27" s="629">
        <v>4</v>
      </c>
      <c r="K27" s="629">
        <v>2</v>
      </c>
      <c r="L27" s="629">
        <v>5</v>
      </c>
      <c r="M27" s="629">
        <v>8</v>
      </c>
      <c r="N27" s="629">
        <v>10</v>
      </c>
      <c r="O27" s="629">
        <v>7</v>
      </c>
      <c r="P27" s="645">
        <v>8</v>
      </c>
      <c r="Q27" s="637">
        <v>59</v>
      </c>
      <c r="R27" s="637">
        <v>63</v>
      </c>
      <c r="S27" s="637">
        <v>64</v>
      </c>
    </row>
    <row r="28" spans="1:19" x14ac:dyDescent="0.25">
      <c r="A28" s="630" t="s">
        <v>1146</v>
      </c>
      <c r="B28" s="630" t="s">
        <v>1145</v>
      </c>
      <c r="C28" s="630" t="s">
        <v>1150</v>
      </c>
      <c r="D28" s="630" t="s">
        <v>70</v>
      </c>
      <c r="E28" s="629">
        <v>0</v>
      </c>
      <c r="F28" s="629">
        <v>0</v>
      </c>
      <c r="G28" s="629">
        <v>0</v>
      </c>
      <c r="H28" s="629">
        <v>153.6601</v>
      </c>
      <c r="I28" s="629">
        <v>219.5145</v>
      </c>
      <c r="J28" s="629">
        <v>219.5145</v>
      </c>
      <c r="K28" s="629">
        <v>504.88249999999999</v>
      </c>
      <c r="L28" s="629">
        <v>219.5145</v>
      </c>
      <c r="M28" s="629">
        <v>219.5145</v>
      </c>
      <c r="N28" s="629">
        <v>219.5145</v>
      </c>
      <c r="O28" s="629">
        <v>219.5145</v>
      </c>
      <c r="P28" s="645">
        <v>219.5145</v>
      </c>
      <c r="Q28" s="637">
        <v>2195.1441</v>
      </c>
      <c r="R28" s="637">
        <v>2260.9983199999997</v>
      </c>
      <c r="S28" s="637">
        <v>2328.82827</v>
      </c>
    </row>
    <row r="29" spans="1:19" x14ac:dyDescent="0.25">
      <c r="A29" s="630" t="s">
        <v>1146</v>
      </c>
      <c r="B29" s="630" t="s">
        <v>1143</v>
      </c>
      <c r="C29" s="630" t="s">
        <v>1150</v>
      </c>
      <c r="D29" s="630" t="s">
        <v>70</v>
      </c>
      <c r="E29" s="629">
        <v>0</v>
      </c>
      <c r="F29" s="629">
        <v>0</v>
      </c>
      <c r="G29" s="629">
        <v>0</v>
      </c>
      <c r="H29" s="629">
        <v>1</v>
      </c>
      <c r="I29" s="629">
        <v>1</v>
      </c>
      <c r="J29" s="629">
        <v>1</v>
      </c>
      <c r="K29" s="629">
        <v>1</v>
      </c>
      <c r="L29" s="629">
        <v>1</v>
      </c>
      <c r="M29" s="629">
        <v>1</v>
      </c>
      <c r="N29" s="629">
        <v>1</v>
      </c>
      <c r="O29" s="629">
        <v>1</v>
      </c>
      <c r="P29" s="645">
        <v>1</v>
      </c>
      <c r="Q29" s="637">
        <v>9</v>
      </c>
      <c r="R29" s="637">
        <v>9</v>
      </c>
      <c r="S29" s="637">
        <v>10</v>
      </c>
    </row>
    <row r="30" spans="1:19" x14ac:dyDescent="0.25">
      <c r="A30" s="630" t="s">
        <v>1146</v>
      </c>
      <c r="B30" s="630" t="s">
        <v>1145</v>
      </c>
      <c r="C30" s="630" t="s">
        <v>1150</v>
      </c>
      <c r="D30" s="630" t="s">
        <v>28</v>
      </c>
      <c r="E30" s="629">
        <v>81.585999999999999</v>
      </c>
      <c r="F30" s="629">
        <v>91.254999999999995</v>
      </c>
      <c r="G30" s="629">
        <v>21.16</v>
      </c>
      <c r="H30" s="629">
        <v>150.78100000000001</v>
      </c>
      <c r="I30" s="629">
        <v>83.515000000000001</v>
      </c>
      <c r="J30" s="629">
        <v>103.002</v>
      </c>
      <c r="K30" s="629">
        <v>192.886</v>
      </c>
      <c r="L30" s="629">
        <v>135.94200000000001</v>
      </c>
      <c r="M30" s="629">
        <v>21.16</v>
      </c>
      <c r="N30" s="629">
        <v>274.47199999999998</v>
      </c>
      <c r="O30" s="629">
        <v>95.43</v>
      </c>
      <c r="P30" s="645">
        <v>103.002</v>
      </c>
      <c r="Q30" s="637">
        <v>1354.191</v>
      </c>
      <c r="R30" s="637">
        <v>1394.817</v>
      </c>
      <c r="S30" s="637">
        <v>1397.2639999999999</v>
      </c>
    </row>
    <row r="31" spans="1:19" x14ac:dyDescent="0.25">
      <c r="A31" s="630" t="s">
        <v>1146</v>
      </c>
      <c r="B31" s="630" t="s">
        <v>1151</v>
      </c>
      <c r="C31" s="630" t="s">
        <v>1142</v>
      </c>
      <c r="D31" s="630" t="s">
        <v>28</v>
      </c>
      <c r="E31" s="629">
        <v>301.93423695884366</v>
      </c>
      <c r="F31" s="629">
        <v>361.03176170858842</v>
      </c>
      <c r="G31" s="629">
        <v>352.11414977634263</v>
      </c>
      <c r="H31" s="629">
        <v>334.41617055201374</v>
      </c>
      <c r="I31" s="629">
        <v>318.25100173608644</v>
      </c>
      <c r="J31" s="629">
        <v>263.01267651084606</v>
      </c>
      <c r="K31" s="629">
        <v>363.13217648182126</v>
      </c>
      <c r="L31" s="629">
        <v>311.78940584944542</v>
      </c>
      <c r="M31" s="629">
        <v>351.68407332382219</v>
      </c>
      <c r="N31" s="629">
        <v>490.75036884197368</v>
      </c>
      <c r="O31" s="629">
        <v>429.64717856800979</v>
      </c>
      <c r="P31" s="645">
        <v>326.82150032508554</v>
      </c>
      <c r="Q31" s="637">
        <v>4204.5847006328713</v>
      </c>
      <c r="R31" s="637">
        <v>5184.4219532073903</v>
      </c>
      <c r="S31" s="637">
        <v>5545.8770316956643</v>
      </c>
    </row>
    <row r="32" spans="1:19" x14ac:dyDescent="0.25">
      <c r="A32" s="630" t="s">
        <v>1146</v>
      </c>
      <c r="B32" s="630" t="s">
        <v>1151</v>
      </c>
      <c r="C32" s="630" t="s">
        <v>1142</v>
      </c>
      <c r="D32" s="630" t="s">
        <v>70</v>
      </c>
      <c r="E32" s="629">
        <v>67.959815583224213</v>
      </c>
      <c r="F32" s="629">
        <v>95.265518615549482</v>
      </c>
      <c r="G32" s="629">
        <v>68.143671444954066</v>
      </c>
      <c r="H32" s="629">
        <v>43.508420000000001</v>
      </c>
      <c r="I32" s="629">
        <v>164.70511559183001</v>
      </c>
      <c r="J32" s="629">
        <v>96.935266078066135</v>
      </c>
      <c r="K32" s="629">
        <v>143.70899924978318</v>
      </c>
      <c r="L32" s="629">
        <v>256.68151781105735</v>
      </c>
      <c r="M32" s="629">
        <v>75.698437276787956</v>
      </c>
      <c r="N32" s="629">
        <v>158.82009569802244</v>
      </c>
      <c r="O32" s="629">
        <v>153.01295589233746</v>
      </c>
      <c r="P32" s="645">
        <v>117.76896014324328</v>
      </c>
      <c r="Q32" s="637">
        <v>1442.2087733848559</v>
      </c>
      <c r="R32" s="637">
        <v>1557.0125322652548</v>
      </c>
      <c r="S32" s="637">
        <v>1787.56130561689</v>
      </c>
    </row>
    <row r="33" spans="1:19" x14ac:dyDescent="0.25">
      <c r="A33" s="630" t="s">
        <v>1146</v>
      </c>
      <c r="B33" s="630" t="s">
        <v>1151</v>
      </c>
      <c r="C33" s="630" t="s">
        <v>1142</v>
      </c>
      <c r="D33" s="630" t="s">
        <v>40</v>
      </c>
      <c r="E33" s="629">
        <v>8.3770000000000024</v>
      </c>
      <c r="F33" s="629">
        <v>8.3770000000000024</v>
      </c>
      <c r="G33" s="629">
        <v>8.3770000000000024</v>
      </c>
      <c r="H33" s="629">
        <v>8.3770000000000024</v>
      </c>
      <c r="I33" s="629">
        <v>8.3770000000000024</v>
      </c>
      <c r="J33" s="629">
        <v>8.3770000000000024</v>
      </c>
      <c r="K33" s="629">
        <v>8.3770000000000024</v>
      </c>
      <c r="L33" s="629">
        <v>8.3770000000000024</v>
      </c>
      <c r="M33" s="629">
        <v>8.3770000000000024</v>
      </c>
      <c r="N33" s="629">
        <v>8.3770000000000024</v>
      </c>
      <c r="O33" s="629">
        <v>8.3770000000000024</v>
      </c>
      <c r="P33" s="645">
        <v>20.694420196750698</v>
      </c>
      <c r="Q33" s="637">
        <v>112.84142019675073</v>
      </c>
      <c r="R33" s="637">
        <v>103.53800000000012</v>
      </c>
      <c r="S33" s="637">
        <v>86.843848297983072</v>
      </c>
    </row>
    <row r="34" spans="1:19" x14ac:dyDescent="0.25">
      <c r="A34" s="630" t="s">
        <v>1146</v>
      </c>
      <c r="B34" s="630" t="s">
        <v>1151</v>
      </c>
      <c r="C34" s="630" t="s">
        <v>1154</v>
      </c>
      <c r="D34" s="630" t="s">
        <v>28</v>
      </c>
      <c r="E34" s="629">
        <v>102.07502682704734</v>
      </c>
      <c r="F34" s="629">
        <v>60.352214825437457</v>
      </c>
      <c r="G34" s="629">
        <v>89.400708904420711</v>
      </c>
      <c r="H34" s="629">
        <v>65.021709252608304</v>
      </c>
      <c r="I34" s="629">
        <v>80.597193080707228</v>
      </c>
      <c r="J34" s="629">
        <v>61.922579509797117</v>
      </c>
      <c r="K34" s="629">
        <v>39.649035413906688</v>
      </c>
      <c r="L34" s="629">
        <v>37.386976261556555</v>
      </c>
      <c r="M34" s="629">
        <v>46.397808157469086</v>
      </c>
      <c r="N34" s="629">
        <v>67.344066946455072</v>
      </c>
      <c r="O34" s="629">
        <v>83.653610521503381</v>
      </c>
      <c r="P34" s="645">
        <v>58.499567101040924</v>
      </c>
      <c r="Q34" s="637">
        <v>792.30049680195077</v>
      </c>
      <c r="R34" s="637">
        <v>1366.7768148708981</v>
      </c>
      <c r="S34" s="637">
        <v>1493.2347559932432</v>
      </c>
    </row>
    <row r="35" spans="1:19" x14ac:dyDescent="0.25">
      <c r="A35" s="630" t="s">
        <v>1146</v>
      </c>
      <c r="B35" s="630" t="s">
        <v>1151</v>
      </c>
      <c r="C35" s="630" t="s">
        <v>1154</v>
      </c>
      <c r="D35" s="630" t="s">
        <v>70</v>
      </c>
      <c r="E35" s="629">
        <v>1.9309999999999938</v>
      </c>
      <c r="F35" s="629">
        <v>79.2455186155495</v>
      </c>
      <c r="G35" s="629">
        <v>1.9309999999999938</v>
      </c>
      <c r="H35" s="629">
        <v>1.9309999999999938</v>
      </c>
      <c r="I35" s="629">
        <v>112.17450559183</v>
      </c>
      <c r="J35" s="629">
        <v>1.9309999999999938</v>
      </c>
      <c r="K35" s="629">
        <v>1.9309999999999938</v>
      </c>
      <c r="L35" s="629">
        <v>112.17450559183</v>
      </c>
      <c r="M35" s="629">
        <v>1.9309999999999938</v>
      </c>
      <c r="N35" s="629">
        <v>34.859986976280439</v>
      </c>
      <c r="O35" s="629">
        <v>79.2455186155495</v>
      </c>
      <c r="P35" s="645">
        <v>-3.7858366219127717</v>
      </c>
      <c r="Q35" s="637">
        <v>425.5001987691266</v>
      </c>
      <c r="R35" s="637">
        <v>508.53553814350613</v>
      </c>
      <c r="S35" s="637">
        <v>553.49986525946053</v>
      </c>
    </row>
    <row r="36" spans="1:19" x14ac:dyDescent="0.25">
      <c r="A36" s="630" t="s">
        <v>1146</v>
      </c>
      <c r="B36" s="630" t="s">
        <v>1151</v>
      </c>
      <c r="C36" s="630" t="s">
        <v>1154</v>
      </c>
      <c r="D36" s="630" t="s">
        <v>40</v>
      </c>
      <c r="E36" s="629">
        <v>0.90100000000000158</v>
      </c>
      <c r="F36" s="629">
        <v>0.90100000000000158</v>
      </c>
      <c r="G36" s="629">
        <v>0.90100000000000158</v>
      </c>
      <c r="H36" s="629">
        <v>0.90100000000000158</v>
      </c>
      <c r="I36" s="629">
        <v>0.90100000000000158</v>
      </c>
      <c r="J36" s="629">
        <v>0.90100000000000158</v>
      </c>
      <c r="K36" s="629">
        <v>0.90100000000000158</v>
      </c>
      <c r="L36" s="629">
        <v>0.90100000000000158</v>
      </c>
      <c r="M36" s="629">
        <v>0.90100000000000158</v>
      </c>
      <c r="N36" s="629">
        <v>0.90100000000000158</v>
      </c>
      <c r="O36" s="629">
        <v>0.90100000000000158</v>
      </c>
      <c r="P36" s="645">
        <v>13.218420196750696</v>
      </c>
      <c r="Q36" s="637">
        <v>23.129420196750697</v>
      </c>
      <c r="R36" s="637">
        <v>11.135000000000019</v>
      </c>
      <c r="S36" s="637">
        <v>-8.3301517020170479</v>
      </c>
    </row>
    <row r="37" spans="1:19" x14ac:dyDescent="0.25">
      <c r="A37" s="630" t="s">
        <v>1146</v>
      </c>
      <c r="B37" s="630" t="s">
        <v>1151</v>
      </c>
      <c r="C37" s="630" t="s">
        <v>1153</v>
      </c>
      <c r="D37" s="630" t="s">
        <v>28</v>
      </c>
      <c r="E37" s="629">
        <v>6.0413556359323231</v>
      </c>
      <c r="F37" s="629">
        <v>26.004765364122015</v>
      </c>
      <c r="G37" s="629">
        <v>22.465038695598629</v>
      </c>
      <c r="H37" s="629">
        <v>6.3734485832964864</v>
      </c>
      <c r="I37" s="629">
        <v>9.5500631727032683</v>
      </c>
      <c r="J37" s="629">
        <v>6.3734485832964864</v>
      </c>
      <c r="K37" s="629">
        <v>6.3734485832964864</v>
      </c>
      <c r="L37" s="629">
        <v>14.357418808635579</v>
      </c>
      <c r="M37" s="629">
        <v>6.0413556359323231</v>
      </c>
      <c r="N37" s="629">
        <v>11.849519347799315</v>
      </c>
      <c r="O37" s="629">
        <v>20.786568369815761</v>
      </c>
      <c r="P37" s="645">
        <v>6.0413556359323231</v>
      </c>
      <c r="Q37" s="637">
        <v>142.25778641636106</v>
      </c>
      <c r="R37" s="637">
        <v>226.94412821117857</v>
      </c>
      <c r="S37" s="637">
        <v>205.38486058473364</v>
      </c>
    </row>
    <row r="38" spans="1:19" x14ac:dyDescent="0.25">
      <c r="A38" s="630" t="s">
        <v>1146</v>
      </c>
      <c r="B38" s="630" t="s">
        <v>1151</v>
      </c>
      <c r="C38" s="630" t="s">
        <v>1153</v>
      </c>
      <c r="D38" s="630" t="s">
        <v>70</v>
      </c>
      <c r="E38" s="629">
        <v>29.008986781946081</v>
      </c>
      <c r="F38" s="629">
        <v>0.23699999999999966</v>
      </c>
      <c r="G38" s="629">
        <v>0.23699999999999966</v>
      </c>
      <c r="H38" s="629">
        <v>0.23699999999999966</v>
      </c>
      <c r="I38" s="629">
        <v>0.23699999999999966</v>
      </c>
      <c r="J38" s="629">
        <v>0.23699999999999966</v>
      </c>
      <c r="K38" s="629">
        <v>0.23699999999999966</v>
      </c>
      <c r="L38" s="629">
        <v>0.23699999999999966</v>
      </c>
      <c r="M38" s="629">
        <v>0.23699999999999966</v>
      </c>
      <c r="N38" s="629">
        <v>0.23699999999999966</v>
      </c>
      <c r="O38" s="629">
        <v>0.23699999999999966</v>
      </c>
      <c r="P38" s="645">
        <v>29.008986781946081</v>
      </c>
      <c r="Q38" s="637">
        <v>60.387973563892167</v>
      </c>
      <c r="R38" s="637">
        <v>60.484135658282504</v>
      </c>
      <c r="S38" s="637">
        <v>146.90033762121587</v>
      </c>
    </row>
    <row r="39" spans="1:19" x14ac:dyDescent="0.25">
      <c r="A39" s="630" t="s">
        <v>1146</v>
      </c>
      <c r="B39" s="630" t="s">
        <v>1151</v>
      </c>
      <c r="C39" s="630" t="s">
        <v>1153</v>
      </c>
      <c r="D39" s="630" t="s">
        <v>40</v>
      </c>
      <c r="E39" s="629">
        <v>0.11099999999999999</v>
      </c>
      <c r="F39" s="629">
        <v>0.11099999999999999</v>
      </c>
      <c r="G39" s="629">
        <v>0.11099999999999999</v>
      </c>
      <c r="H39" s="629">
        <v>0.11099999999999999</v>
      </c>
      <c r="I39" s="629">
        <v>0.11099999999999999</v>
      </c>
      <c r="J39" s="629">
        <v>0.11099999999999999</v>
      </c>
      <c r="K39" s="629">
        <v>0.11099999999999999</v>
      </c>
      <c r="L39" s="629">
        <v>0.11099999999999999</v>
      </c>
      <c r="M39" s="629">
        <v>0.11099999999999999</v>
      </c>
      <c r="N39" s="629">
        <v>0.11099999999999999</v>
      </c>
      <c r="O39" s="629">
        <v>0.11099999999999999</v>
      </c>
      <c r="P39" s="645">
        <v>0.11099999999999999</v>
      </c>
      <c r="Q39" s="637">
        <v>1.3319999999999999</v>
      </c>
      <c r="R39" s="637">
        <v>1.3689999999999998</v>
      </c>
      <c r="S39" s="637">
        <v>1.4089999999999989</v>
      </c>
    </row>
    <row r="40" spans="1:19" x14ac:dyDescent="0.25">
      <c r="A40" s="630" t="s">
        <v>1146</v>
      </c>
      <c r="B40" s="630" t="s">
        <v>1151</v>
      </c>
      <c r="C40" s="630" t="s">
        <v>1152</v>
      </c>
      <c r="D40" s="630" t="s">
        <v>28</v>
      </c>
      <c r="E40" s="629">
        <v>29.644934726124433</v>
      </c>
      <c r="F40" s="629">
        <v>63.466695242901807</v>
      </c>
      <c r="G40" s="629">
        <v>63.035814929490698</v>
      </c>
      <c r="H40" s="629">
        <v>73.065192371189681</v>
      </c>
      <c r="I40" s="629">
        <v>51.272517267427702</v>
      </c>
      <c r="J40" s="629">
        <v>34.896719671042916</v>
      </c>
      <c r="K40" s="629">
        <v>49.867594685953208</v>
      </c>
      <c r="L40" s="629">
        <v>19.079398907209338</v>
      </c>
      <c r="M40" s="629">
        <v>35.196780099575847</v>
      </c>
      <c r="N40" s="629">
        <v>68.850168633204504</v>
      </c>
      <c r="O40" s="629">
        <v>44.684406652717712</v>
      </c>
      <c r="P40" s="645">
        <v>53.220745373122583</v>
      </c>
      <c r="Q40" s="637">
        <v>586.28096855996023</v>
      </c>
      <c r="R40" s="637">
        <v>640.4455451393917</v>
      </c>
      <c r="S40" s="637">
        <v>682.43325399988112</v>
      </c>
    </row>
    <row r="41" spans="1:19" x14ac:dyDescent="0.25">
      <c r="A41" s="630" t="s">
        <v>1146</v>
      </c>
      <c r="B41" s="630" t="s">
        <v>1151</v>
      </c>
      <c r="C41" s="630" t="s">
        <v>1152</v>
      </c>
      <c r="D41" s="630" t="s">
        <v>70</v>
      </c>
      <c r="E41" s="629">
        <v>23.992828801278137</v>
      </c>
      <c r="F41" s="629">
        <v>2.7560000000000002</v>
      </c>
      <c r="G41" s="629">
        <v>2.7560000000000002</v>
      </c>
      <c r="H41" s="629">
        <v>2.7560000000000002</v>
      </c>
      <c r="I41" s="629">
        <v>2.7560000000000002</v>
      </c>
      <c r="J41" s="629">
        <v>45.229656078066135</v>
      </c>
      <c r="K41" s="629">
        <v>44.539729249783143</v>
      </c>
      <c r="L41" s="629">
        <v>44.539730774273323</v>
      </c>
      <c r="M41" s="629">
        <v>23.992827276787978</v>
      </c>
      <c r="N41" s="629">
        <v>23.99282727678796</v>
      </c>
      <c r="O41" s="629">
        <v>23.992827276787974</v>
      </c>
      <c r="P41" s="645">
        <v>23.992827276787967</v>
      </c>
      <c r="Q41" s="637">
        <v>265.29725401055248</v>
      </c>
      <c r="R41" s="637">
        <v>286.83619846346619</v>
      </c>
      <c r="S41" s="637">
        <v>350.8777544793337</v>
      </c>
    </row>
    <row r="42" spans="1:19" x14ac:dyDescent="0.25">
      <c r="A42" s="630" t="s">
        <v>1146</v>
      </c>
      <c r="B42" s="630" t="s">
        <v>1151</v>
      </c>
      <c r="C42" s="630" t="s">
        <v>1152</v>
      </c>
      <c r="D42" s="630" t="s">
        <v>40</v>
      </c>
      <c r="E42" s="629">
        <v>1.2860000000000014</v>
      </c>
      <c r="F42" s="629">
        <v>1.2860000000000014</v>
      </c>
      <c r="G42" s="629">
        <v>1.2860000000000014</v>
      </c>
      <c r="H42" s="629">
        <v>1.2860000000000014</v>
      </c>
      <c r="I42" s="629">
        <v>1.2860000000000014</v>
      </c>
      <c r="J42" s="629">
        <v>1.2860000000000014</v>
      </c>
      <c r="K42" s="629">
        <v>1.2860000000000014</v>
      </c>
      <c r="L42" s="629">
        <v>1.2860000000000014</v>
      </c>
      <c r="M42" s="629">
        <v>1.2860000000000014</v>
      </c>
      <c r="N42" s="629">
        <v>1.2860000000000014</v>
      </c>
      <c r="O42" s="629">
        <v>1.2860000000000014</v>
      </c>
      <c r="P42" s="645">
        <v>1.2860000000000014</v>
      </c>
      <c r="Q42" s="637">
        <v>15.432000000000016</v>
      </c>
      <c r="R42" s="637">
        <v>15.895999999999987</v>
      </c>
      <c r="S42" s="637">
        <v>16.373000000000019</v>
      </c>
    </row>
    <row r="43" spans="1:19" x14ac:dyDescent="0.25">
      <c r="A43" s="630" t="s">
        <v>1146</v>
      </c>
      <c r="B43" s="630" t="s">
        <v>1151</v>
      </c>
      <c r="C43" s="630" t="s">
        <v>1155</v>
      </c>
      <c r="D43" s="630" t="s">
        <v>28</v>
      </c>
      <c r="E43" s="629">
        <v>69.322128253206984</v>
      </c>
      <c r="F43" s="629">
        <v>73.6381553147543</v>
      </c>
      <c r="G43" s="629">
        <v>77.182378443261427</v>
      </c>
      <c r="H43" s="629">
        <v>72.671756910853503</v>
      </c>
      <c r="I43" s="629">
        <v>69.085876440199456</v>
      </c>
      <c r="J43" s="629">
        <v>74.026915836481635</v>
      </c>
      <c r="K43" s="629">
        <v>75.469709240157499</v>
      </c>
      <c r="L43" s="629">
        <v>77.229128113562581</v>
      </c>
      <c r="M43" s="629">
        <v>100.04976232081043</v>
      </c>
      <c r="N43" s="629">
        <v>98.237313556433691</v>
      </c>
      <c r="O43" s="629">
        <v>96.151525237924602</v>
      </c>
      <c r="P43" s="645">
        <v>95.387108009752239</v>
      </c>
      <c r="Q43" s="637">
        <v>978.45175767739738</v>
      </c>
      <c r="R43" s="637">
        <v>942.08703935064932</v>
      </c>
      <c r="S43" s="637">
        <v>974.35414790352479</v>
      </c>
    </row>
    <row r="44" spans="1:19" x14ac:dyDescent="0.25">
      <c r="A44" s="630" t="s">
        <v>1146</v>
      </c>
      <c r="B44" s="630" t="s">
        <v>1151</v>
      </c>
      <c r="C44" s="630" t="s">
        <v>1155</v>
      </c>
      <c r="D44" s="630" t="s">
        <v>70</v>
      </c>
      <c r="E44" s="629">
        <v>4.0560000000000045</v>
      </c>
      <c r="F44" s="629">
        <v>4.0560000000000045</v>
      </c>
      <c r="G44" s="629">
        <v>4.0560000000000045</v>
      </c>
      <c r="H44" s="629">
        <v>4.0560000000000045</v>
      </c>
      <c r="I44" s="629">
        <v>4.0560000000000045</v>
      </c>
      <c r="J44" s="629">
        <v>4.0560000000000045</v>
      </c>
      <c r="K44" s="629">
        <v>4.0560000000000045</v>
      </c>
      <c r="L44" s="629">
        <v>4.0560000000000045</v>
      </c>
      <c r="M44" s="629">
        <v>4.0560000000000045</v>
      </c>
      <c r="N44" s="629">
        <v>4.0560000000000045</v>
      </c>
      <c r="O44" s="629">
        <v>4.0560000000000045</v>
      </c>
      <c r="P44" s="645">
        <v>4.0560000000000045</v>
      </c>
      <c r="Q44" s="637">
        <v>48.672000000000054</v>
      </c>
      <c r="R44" s="637">
        <v>50.125</v>
      </c>
      <c r="S44" s="637">
        <v>51.629000000000019</v>
      </c>
    </row>
    <row r="45" spans="1:19" x14ac:dyDescent="0.25">
      <c r="A45" s="630" t="s">
        <v>1146</v>
      </c>
      <c r="B45" s="630" t="s">
        <v>1151</v>
      </c>
      <c r="C45" s="630" t="s">
        <v>1155</v>
      </c>
      <c r="D45" s="630" t="s">
        <v>40</v>
      </c>
      <c r="E45" s="629">
        <v>1.892000000000003</v>
      </c>
      <c r="F45" s="629">
        <v>1.892000000000003</v>
      </c>
      <c r="G45" s="629">
        <v>1.892000000000003</v>
      </c>
      <c r="H45" s="629">
        <v>1.892000000000003</v>
      </c>
      <c r="I45" s="629">
        <v>1.892000000000003</v>
      </c>
      <c r="J45" s="629">
        <v>1.892000000000003</v>
      </c>
      <c r="K45" s="629">
        <v>1.892000000000003</v>
      </c>
      <c r="L45" s="629">
        <v>1.892000000000003</v>
      </c>
      <c r="M45" s="629">
        <v>1.892000000000003</v>
      </c>
      <c r="N45" s="629">
        <v>1.892000000000003</v>
      </c>
      <c r="O45" s="629">
        <v>1.892000000000003</v>
      </c>
      <c r="P45" s="645">
        <v>1.892000000000003</v>
      </c>
      <c r="Q45" s="637">
        <v>22.704000000000036</v>
      </c>
      <c r="R45" s="637">
        <v>23.391999999999996</v>
      </c>
      <c r="S45" s="637">
        <v>24.093999999999994</v>
      </c>
    </row>
    <row r="46" spans="1:19" x14ac:dyDescent="0.25">
      <c r="A46" s="630" t="s">
        <v>1146</v>
      </c>
      <c r="B46" s="630" t="s">
        <v>1151</v>
      </c>
      <c r="C46" s="630" t="s">
        <v>1147</v>
      </c>
      <c r="D46" s="630" t="s">
        <v>28</v>
      </c>
      <c r="E46" s="629">
        <v>0.68599999999999994</v>
      </c>
      <c r="F46" s="629">
        <v>0.68599999999999994</v>
      </c>
      <c r="G46" s="629">
        <v>1.5778267508388506</v>
      </c>
      <c r="H46" s="629">
        <v>7.9282617613302193</v>
      </c>
      <c r="I46" s="629">
        <v>1.5778267508388506</v>
      </c>
      <c r="J46" s="629">
        <v>1.5778267508388506</v>
      </c>
      <c r="K46" s="629">
        <v>1.5778267508388506</v>
      </c>
      <c r="L46" s="629">
        <v>1.5778267508388506</v>
      </c>
      <c r="M46" s="629">
        <v>1.5778267508388506</v>
      </c>
      <c r="N46" s="629">
        <v>19.933621868776278</v>
      </c>
      <c r="O46" s="629">
        <v>7.9282617613302193</v>
      </c>
      <c r="P46" s="645">
        <v>1.5778267508388506</v>
      </c>
      <c r="Q46" s="637">
        <v>48.206932647308669</v>
      </c>
      <c r="R46" s="637">
        <v>48.192754378417305</v>
      </c>
      <c r="S46" s="637">
        <v>55.435286360000021</v>
      </c>
    </row>
    <row r="47" spans="1:19" x14ac:dyDescent="0.25">
      <c r="A47" s="630" t="s">
        <v>1146</v>
      </c>
      <c r="B47" s="630" t="s">
        <v>1151</v>
      </c>
      <c r="C47" s="630" t="s">
        <v>1147</v>
      </c>
      <c r="D47" s="630" t="s">
        <v>70</v>
      </c>
      <c r="E47" s="629">
        <v>0.13200000000000012</v>
      </c>
      <c r="F47" s="629">
        <v>0.13200000000000012</v>
      </c>
      <c r="G47" s="629">
        <v>0.13200000000000012</v>
      </c>
      <c r="H47" s="629">
        <v>0.13200000000000012</v>
      </c>
      <c r="I47" s="629">
        <v>0.13200000000000012</v>
      </c>
      <c r="J47" s="629">
        <v>0.13200000000000012</v>
      </c>
      <c r="K47" s="629">
        <v>0.13200000000000012</v>
      </c>
      <c r="L47" s="629">
        <v>0.13200000000000012</v>
      </c>
      <c r="M47" s="629">
        <v>0.13200000000000012</v>
      </c>
      <c r="N47" s="629">
        <v>0.13200000000000012</v>
      </c>
      <c r="O47" s="629">
        <v>0.13200000000000012</v>
      </c>
      <c r="P47" s="645">
        <v>0.13200000000000012</v>
      </c>
      <c r="Q47" s="637">
        <v>1.5840000000000014</v>
      </c>
      <c r="R47" s="637">
        <v>1.629999999999999</v>
      </c>
      <c r="S47" s="637">
        <v>1.6779999999999973</v>
      </c>
    </row>
    <row r="48" spans="1:19" x14ac:dyDescent="0.25">
      <c r="A48" s="630" t="s">
        <v>1146</v>
      </c>
      <c r="B48" s="630" t="s">
        <v>1151</v>
      </c>
      <c r="C48" s="630" t="s">
        <v>1147</v>
      </c>
      <c r="D48" s="630" t="s">
        <v>40</v>
      </c>
      <c r="E48" s="629">
        <v>6.2000000000000055E-2</v>
      </c>
      <c r="F48" s="629">
        <v>6.2000000000000055E-2</v>
      </c>
      <c r="G48" s="629">
        <v>6.2000000000000055E-2</v>
      </c>
      <c r="H48" s="629">
        <v>6.2000000000000055E-2</v>
      </c>
      <c r="I48" s="629">
        <v>6.2000000000000055E-2</v>
      </c>
      <c r="J48" s="629">
        <v>6.2000000000000055E-2</v>
      </c>
      <c r="K48" s="629">
        <v>6.2000000000000055E-2</v>
      </c>
      <c r="L48" s="629">
        <v>6.2000000000000055E-2</v>
      </c>
      <c r="M48" s="629">
        <v>6.2000000000000055E-2</v>
      </c>
      <c r="N48" s="629">
        <v>6.2000000000000055E-2</v>
      </c>
      <c r="O48" s="629">
        <v>6.2000000000000055E-2</v>
      </c>
      <c r="P48" s="645">
        <v>6.2000000000000055E-2</v>
      </c>
      <c r="Q48" s="637">
        <v>0.74400000000000066</v>
      </c>
      <c r="R48" s="637">
        <v>0.75999999999999979</v>
      </c>
      <c r="S48" s="637">
        <v>0.78299999999999947</v>
      </c>
    </row>
    <row r="49" spans="1:19" x14ac:dyDescent="0.25">
      <c r="A49" s="630" t="s">
        <v>1146</v>
      </c>
      <c r="B49" s="630" t="s">
        <v>1151</v>
      </c>
      <c r="C49" s="630" t="s">
        <v>1148</v>
      </c>
      <c r="D49" s="630" t="s">
        <v>28</v>
      </c>
      <c r="E49" s="629">
        <v>4.7104337183673479</v>
      </c>
      <c r="F49" s="629">
        <v>3.7341195779591878</v>
      </c>
      <c r="G49" s="629">
        <v>3.7202395733333375</v>
      </c>
      <c r="H49" s="629">
        <v>4.8558325816326544</v>
      </c>
      <c r="I49" s="629">
        <v>7.9025822146938864</v>
      </c>
      <c r="J49" s="629">
        <v>4.1335877612789176</v>
      </c>
      <c r="K49" s="629">
        <v>4.8995900884353816</v>
      </c>
      <c r="L49" s="629">
        <v>9.7133716748299435</v>
      </c>
      <c r="M49" s="629">
        <v>3.8567864751020409</v>
      </c>
      <c r="N49" s="629">
        <v>9.3507639700680372</v>
      </c>
      <c r="O49" s="629">
        <v>4.2858062288707544</v>
      </c>
      <c r="P49" s="645">
        <v>4.345741722666677</v>
      </c>
      <c r="Q49" s="637">
        <v>65.508855587238159</v>
      </c>
      <c r="R49" s="637">
        <v>90.584533642176893</v>
      </c>
      <c r="S49" s="637">
        <v>119.98872098272136</v>
      </c>
    </row>
    <row r="50" spans="1:19" x14ac:dyDescent="0.25">
      <c r="A50" s="630" t="s">
        <v>1146</v>
      </c>
      <c r="B50" s="630" t="s">
        <v>1151</v>
      </c>
      <c r="C50" s="630" t="s">
        <v>1149</v>
      </c>
      <c r="D50" s="630" t="s">
        <v>28</v>
      </c>
      <c r="E50" s="629">
        <v>75.856357798165163</v>
      </c>
      <c r="F50" s="629">
        <v>117.94081138341357</v>
      </c>
      <c r="G50" s="629">
        <v>91.206142479399091</v>
      </c>
      <c r="H50" s="629">
        <v>79.369969091102803</v>
      </c>
      <c r="I50" s="629">
        <v>84.345942809516032</v>
      </c>
      <c r="J50" s="629">
        <v>62.914598398110115</v>
      </c>
      <c r="K50" s="629">
        <v>153.14697171923319</v>
      </c>
      <c r="L50" s="629">
        <v>129.78828533281251</v>
      </c>
      <c r="M50" s="629">
        <v>155.0377538840936</v>
      </c>
      <c r="N50" s="629">
        <v>169.43891451923673</v>
      </c>
      <c r="O50" s="629">
        <v>156.25199979584744</v>
      </c>
      <c r="P50" s="645">
        <v>90.582155731731859</v>
      </c>
      <c r="Q50" s="637">
        <v>1365.8799029426623</v>
      </c>
      <c r="R50" s="637">
        <v>1636.9221376146779</v>
      </c>
      <c r="S50" s="637">
        <v>1782.1690058715594</v>
      </c>
    </row>
    <row r="51" spans="1:19" x14ac:dyDescent="0.25">
      <c r="A51" s="630" t="s">
        <v>1146</v>
      </c>
      <c r="B51" s="630" t="s">
        <v>1151</v>
      </c>
      <c r="C51" s="630" t="s">
        <v>1149</v>
      </c>
      <c r="D51" s="630" t="s">
        <v>70</v>
      </c>
      <c r="E51" s="629">
        <v>8.8389999999999986</v>
      </c>
      <c r="F51" s="629">
        <v>8.8389999999999986</v>
      </c>
      <c r="G51" s="629">
        <v>59.031671444954043</v>
      </c>
      <c r="H51" s="629">
        <v>8.8389999999999986</v>
      </c>
      <c r="I51" s="629">
        <v>8.8389999999999986</v>
      </c>
      <c r="J51" s="629">
        <v>8.8389999999999986</v>
      </c>
      <c r="K51" s="629">
        <v>8.8389999999999986</v>
      </c>
      <c r="L51" s="629">
        <v>59.031671444954043</v>
      </c>
      <c r="M51" s="629">
        <v>8.8389999999999986</v>
      </c>
      <c r="N51" s="629">
        <v>59.031671444954043</v>
      </c>
      <c r="O51" s="629">
        <v>8.8389999999999986</v>
      </c>
      <c r="P51" s="645">
        <v>27.854372706422012</v>
      </c>
      <c r="Q51" s="637">
        <v>275.66138704128412</v>
      </c>
      <c r="R51" s="637">
        <v>273.34249999999997</v>
      </c>
      <c r="S51" s="637">
        <v>295.63540825688096</v>
      </c>
    </row>
    <row r="52" spans="1:19" x14ac:dyDescent="0.25">
      <c r="A52" s="630" t="s">
        <v>1146</v>
      </c>
      <c r="B52" s="630" t="s">
        <v>1151</v>
      </c>
      <c r="C52" s="630" t="s">
        <v>1149</v>
      </c>
      <c r="D52" s="630" t="s">
        <v>40</v>
      </c>
      <c r="E52" s="629">
        <v>4.125</v>
      </c>
      <c r="F52" s="629">
        <v>4.125</v>
      </c>
      <c r="G52" s="629">
        <v>4.125</v>
      </c>
      <c r="H52" s="629">
        <v>4.125</v>
      </c>
      <c r="I52" s="629">
        <v>4.125</v>
      </c>
      <c r="J52" s="629">
        <v>4.125</v>
      </c>
      <c r="K52" s="629">
        <v>4.125</v>
      </c>
      <c r="L52" s="629">
        <v>4.125</v>
      </c>
      <c r="M52" s="629">
        <v>4.125</v>
      </c>
      <c r="N52" s="629">
        <v>4.125</v>
      </c>
      <c r="O52" s="629">
        <v>4.125</v>
      </c>
      <c r="P52" s="645">
        <v>4.125</v>
      </c>
      <c r="Q52" s="637">
        <v>49.5</v>
      </c>
      <c r="R52" s="637">
        <v>50.986000000000104</v>
      </c>
      <c r="S52" s="637">
        <v>52.5150000000001</v>
      </c>
    </row>
    <row r="53" spans="1:19" x14ac:dyDescent="0.25">
      <c r="A53" s="630" t="s">
        <v>1146</v>
      </c>
      <c r="B53" s="630" t="s">
        <v>1151</v>
      </c>
      <c r="C53" s="630" t="s">
        <v>1150</v>
      </c>
      <c r="D53" s="630" t="s">
        <v>28</v>
      </c>
      <c r="E53" s="629">
        <v>13.597999999999999</v>
      </c>
      <c r="F53" s="629">
        <v>15.208999999999989</v>
      </c>
      <c r="G53" s="629">
        <v>3.5259999999999998</v>
      </c>
      <c r="H53" s="629">
        <v>25.13000000000001</v>
      </c>
      <c r="I53" s="629">
        <v>13.918999999999997</v>
      </c>
      <c r="J53" s="629">
        <v>17.167000000000002</v>
      </c>
      <c r="K53" s="629">
        <v>32.147999999999996</v>
      </c>
      <c r="L53" s="629">
        <v>22.657000000000011</v>
      </c>
      <c r="M53" s="629">
        <v>3.5259999999999998</v>
      </c>
      <c r="N53" s="629">
        <v>45.745999999999981</v>
      </c>
      <c r="O53" s="629">
        <v>15.905000000000001</v>
      </c>
      <c r="P53" s="645">
        <v>17.167000000000002</v>
      </c>
      <c r="Q53" s="637">
        <v>225.69799999999998</v>
      </c>
      <c r="R53" s="637">
        <v>232.46900000000005</v>
      </c>
      <c r="S53" s="637">
        <v>232.87699999999995</v>
      </c>
    </row>
    <row r="54" spans="1:19" x14ac:dyDescent="0.25">
      <c r="A54" s="630" t="s">
        <v>1146</v>
      </c>
      <c r="B54" s="630" t="s">
        <v>1151</v>
      </c>
      <c r="C54" s="630" t="s">
        <v>1150</v>
      </c>
      <c r="D54" s="630" t="s">
        <v>70</v>
      </c>
      <c r="E54" s="629">
        <v>0</v>
      </c>
      <c r="F54" s="629">
        <v>0</v>
      </c>
      <c r="G54" s="629">
        <v>0</v>
      </c>
      <c r="H54" s="629">
        <v>25.557420000000008</v>
      </c>
      <c r="I54" s="629">
        <v>36.510609999999986</v>
      </c>
      <c r="J54" s="629">
        <v>36.510609999999986</v>
      </c>
      <c r="K54" s="629">
        <v>83.97426999999999</v>
      </c>
      <c r="L54" s="629">
        <v>36.510609999999986</v>
      </c>
      <c r="M54" s="629">
        <v>36.510609999999986</v>
      </c>
      <c r="N54" s="629">
        <v>36.510609999999986</v>
      </c>
      <c r="O54" s="629">
        <v>36.510609999999986</v>
      </c>
      <c r="P54" s="645">
        <v>36.510609999999986</v>
      </c>
      <c r="Q54" s="637">
        <v>365.10595999999987</v>
      </c>
      <c r="R54" s="637">
        <v>376.05915999999979</v>
      </c>
      <c r="S54" s="637">
        <v>387.34093999999982</v>
      </c>
    </row>
    <row r="55" spans="1:19" x14ac:dyDescent="0.25">
      <c r="A55" s="630" t="s">
        <v>1144</v>
      </c>
      <c r="B55" s="630" t="s">
        <v>1151</v>
      </c>
      <c r="C55" s="630" t="s">
        <v>1142</v>
      </c>
      <c r="D55" s="630" t="s">
        <v>40</v>
      </c>
      <c r="E55" s="629">
        <v>20.153489050061438</v>
      </c>
      <c r="F55" s="629">
        <v>69.5887059764311</v>
      </c>
      <c r="G55" s="629">
        <v>56.643619383813181</v>
      </c>
      <c r="H55" s="629">
        <v>72.631424240870331</v>
      </c>
      <c r="I55" s="629">
        <v>80.462457420017415</v>
      </c>
      <c r="J55" s="629">
        <v>64.726783290749808</v>
      </c>
      <c r="K55" s="629">
        <v>53.701664558728211</v>
      </c>
      <c r="L55" s="629">
        <v>99.90767128511915</v>
      </c>
      <c r="M55" s="629">
        <v>114.69012271445806</v>
      </c>
      <c r="N55" s="629">
        <v>54.428425649418045</v>
      </c>
      <c r="O55" s="629">
        <v>96.078179093623476</v>
      </c>
      <c r="P55" s="645">
        <v>168.33812085888283</v>
      </c>
      <c r="Q55" s="637">
        <v>951.35066352217302</v>
      </c>
      <c r="R55" s="637">
        <v>1180.7421105815099</v>
      </c>
      <c r="S55" s="637">
        <v>1460.3308684947037</v>
      </c>
    </row>
    <row r="56" spans="1:19" x14ac:dyDescent="0.25">
      <c r="A56" s="630" t="s">
        <v>1144</v>
      </c>
      <c r="B56" s="630" t="s">
        <v>1151</v>
      </c>
      <c r="C56" s="630" t="s">
        <v>1142</v>
      </c>
      <c r="D56" s="630" t="s">
        <v>38</v>
      </c>
      <c r="E56" s="629">
        <v>-15.790520462495071</v>
      </c>
      <c r="F56" s="629">
        <v>-6.2441645275786044</v>
      </c>
      <c r="G56" s="629">
        <v>-1.6658499472611794</v>
      </c>
      <c r="H56" s="629">
        <v>6.3742298142523452</v>
      </c>
      <c r="I56" s="629">
        <v>-0.32839078720714809</v>
      </c>
      <c r="J56" s="629">
        <v>1.6715084083498688</v>
      </c>
      <c r="K56" s="629">
        <v>9.6167932749669909</v>
      </c>
      <c r="L56" s="629">
        <v>0.28259786676187559</v>
      </c>
      <c r="M56" s="629">
        <v>-0.16443175236187813</v>
      </c>
      <c r="N56" s="629">
        <v>2.2326482461550334</v>
      </c>
      <c r="O56" s="629">
        <v>1.791875639688449</v>
      </c>
      <c r="P56" s="645">
        <v>13.055618730934381</v>
      </c>
      <c r="Q56" s="637">
        <v>10.831914504205056</v>
      </c>
      <c r="R56" s="637">
        <v>316.38722066662376</v>
      </c>
      <c r="S56" s="637">
        <v>189.89728313477349</v>
      </c>
    </row>
    <row r="57" spans="1:19" x14ac:dyDescent="0.25">
      <c r="A57" s="630" t="s">
        <v>1144</v>
      </c>
      <c r="B57" s="630" t="s">
        <v>1151</v>
      </c>
      <c r="C57" s="630" t="s">
        <v>1154</v>
      </c>
      <c r="D57" s="630" t="s">
        <v>40</v>
      </c>
      <c r="E57" s="629">
        <v>0</v>
      </c>
      <c r="F57" s="629">
        <v>39.405572013538105</v>
      </c>
      <c r="G57" s="629">
        <v>3.9331851043939423</v>
      </c>
      <c r="H57" s="629">
        <v>3.9331851043939423</v>
      </c>
      <c r="I57" s="629">
        <v>11.062264835229957</v>
      </c>
      <c r="J57" s="629">
        <v>3.9312185120715775</v>
      </c>
      <c r="K57" s="629">
        <v>-10.013276784911206</v>
      </c>
      <c r="L57" s="629">
        <v>3.9312185120715775</v>
      </c>
      <c r="M57" s="629">
        <v>0</v>
      </c>
      <c r="N57" s="629">
        <v>-6.0820582728396282</v>
      </c>
      <c r="O57" s="629">
        <v>3.9312185120715775</v>
      </c>
      <c r="P57" s="645">
        <v>11.656816002455862</v>
      </c>
      <c r="Q57" s="637">
        <v>65.689343538475711</v>
      </c>
      <c r="R57" s="637">
        <v>97.447773073344038</v>
      </c>
      <c r="S57" s="637">
        <v>117.01179240336207</v>
      </c>
    </row>
    <row r="58" spans="1:19" x14ac:dyDescent="0.25">
      <c r="A58" s="630" t="s">
        <v>1144</v>
      </c>
      <c r="B58" s="630" t="s">
        <v>1151</v>
      </c>
      <c r="C58" s="630" t="s">
        <v>1154</v>
      </c>
      <c r="D58" s="630" t="s">
        <v>38</v>
      </c>
      <c r="E58" s="629">
        <v>-28.226651656678715</v>
      </c>
      <c r="F58" s="629">
        <v>-28.226653181168892</v>
      </c>
      <c r="G58" s="629">
        <v>-26.031387897590847</v>
      </c>
      <c r="H58" s="629">
        <v>-28.226653181168885</v>
      </c>
      <c r="I58" s="629">
        <v>-28.226651656678712</v>
      </c>
      <c r="J58" s="629">
        <v>-26.031386373100673</v>
      </c>
      <c r="K58" s="629">
        <v>-18.213376396257683</v>
      </c>
      <c r="L58" s="629">
        <v>-26.031387897590847</v>
      </c>
      <c r="M58" s="629">
        <v>-26.031387897590847</v>
      </c>
      <c r="N58" s="629">
        <v>-16.018109588189468</v>
      </c>
      <c r="O58" s="629">
        <v>-28.226653181168885</v>
      </c>
      <c r="P58" s="645">
        <v>-26.031386373100673</v>
      </c>
      <c r="Q58" s="637">
        <v>-305.521685280285</v>
      </c>
      <c r="R58" s="637">
        <v>34.364640807248037</v>
      </c>
      <c r="S58" s="637">
        <v>36.512041673463386</v>
      </c>
    </row>
    <row r="59" spans="1:19" x14ac:dyDescent="0.25">
      <c r="A59" s="630" t="s">
        <v>1144</v>
      </c>
      <c r="B59" s="630" t="s">
        <v>1151</v>
      </c>
      <c r="C59" s="630" t="s">
        <v>1153</v>
      </c>
      <c r="D59" s="630" t="s">
        <v>40</v>
      </c>
      <c r="E59" s="629">
        <v>20.153489050061438</v>
      </c>
      <c r="F59" s="629">
        <v>20.153489050061438</v>
      </c>
      <c r="G59" s="629">
        <v>20.153489050061438</v>
      </c>
      <c r="H59" s="629">
        <v>34.937716797026837</v>
      </c>
      <c r="I59" s="629">
        <v>20.153489050061438</v>
      </c>
      <c r="J59" s="629">
        <v>34.937716797026837</v>
      </c>
      <c r="K59" s="629">
        <v>20.153489050061438</v>
      </c>
      <c r="L59" s="629">
        <v>34.937716797026837</v>
      </c>
      <c r="M59" s="629">
        <v>34.937716797026837</v>
      </c>
      <c r="N59" s="629">
        <v>20.153489050061438</v>
      </c>
      <c r="O59" s="629">
        <v>34.937716797026837</v>
      </c>
      <c r="P59" s="645">
        <v>20.153489050061438</v>
      </c>
      <c r="Q59" s="637">
        <v>315.76300733556417</v>
      </c>
      <c r="R59" s="637">
        <v>430.97597485319898</v>
      </c>
      <c r="S59" s="637">
        <v>531.16173443107073</v>
      </c>
    </row>
    <row r="60" spans="1:19" x14ac:dyDescent="0.25">
      <c r="A60" s="630" t="s">
        <v>1144</v>
      </c>
      <c r="B60" s="630" t="s">
        <v>1151</v>
      </c>
      <c r="C60" s="630" t="s">
        <v>1153</v>
      </c>
      <c r="D60" s="630" t="s">
        <v>38</v>
      </c>
      <c r="E60" s="629">
        <v>9.1804798180368508</v>
      </c>
      <c r="F60" s="629">
        <v>18.726837277443494</v>
      </c>
      <c r="G60" s="629">
        <v>12.125794831063622</v>
      </c>
      <c r="H60" s="629">
        <v>19.545488500008389</v>
      </c>
      <c r="I60" s="629">
        <v>17.44169206213212</v>
      </c>
      <c r="J60" s="629">
        <v>14.275325974111105</v>
      </c>
      <c r="K60" s="629">
        <v>15.174775175811824</v>
      </c>
      <c r="L60" s="629">
        <v>14.229591268939892</v>
      </c>
      <c r="M60" s="629">
        <v>14.839387337889519</v>
      </c>
      <c r="N60" s="629">
        <v>9.6241064581977156</v>
      </c>
      <c r="O60" s="629">
        <v>24.362877444710549</v>
      </c>
      <c r="P60" s="645">
        <v>26.431610608622208</v>
      </c>
      <c r="Q60" s="637">
        <v>195.95796675696727</v>
      </c>
      <c r="R60" s="637">
        <v>116.93754316212801</v>
      </c>
      <c r="S60" s="637">
        <v>53.085796782411052</v>
      </c>
    </row>
    <row r="61" spans="1:19" x14ac:dyDescent="0.25">
      <c r="A61" s="630" t="s">
        <v>1144</v>
      </c>
      <c r="B61" s="630" t="s">
        <v>1151</v>
      </c>
      <c r="C61" s="630" t="s">
        <v>1152</v>
      </c>
      <c r="D61" s="630" t="s">
        <v>40</v>
      </c>
      <c r="E61" s="629">
        <v>0</v>
      </c>
      <c r="F61" s="629">
        <v>0</v>
      </c>
      <c r="G61" s="629">
        <v>0</v>
      </c>
      <c r="H61" s="629">
        <v>0</v>
      </c>
      <c r="I61" s="629">
        <v>15.452198848400117</v>
      </c>
      <c r="J61" s="629">
        <v>0</v>
      </c>
      <c r="K61" s="629">
        <v>0</v>
      </c>
      <c r="L61" s="629">
        <v>0</v>
      </c>
      <c r="M61" s="629">
        <v>0</v>
      </c>
      <c r="N61" s="629">
        <v>0</v>
      </c>
      <c r="O61" s="629">
        <v>6.593788922139721</v>
      </c>
      <c r="P61" s="645">
        <v>10.492681684927518</v>
      </c>
      <c r="Q61" s="637">
        <v>32.538669455467357</v>
      </c>
      <c r="R61" s="637">
        <v>32.678942369698035</v>
      </c>
      <c r="S61" s="637">
        <v>36.612127014423173</v>
      </c>
    </row>
    <row r="62" spans="1:19" x14ac:dyDescent="0.25">
      <c r="A62" s="630" t="s">
        <v>1144</v>
      </c>
      <c r="B62" s="630" t="s">
        <v>1151</v>
      </c>
      <c r="C62" s="630" t="s">
        <v>1148</v>
      </c>
      <c r="D62" s="630" t="s">
        <v>40</v>
      </c>
      <c r="E62" s="629">
        <v>0</v>
      </c>
      <c r="F62" s="629">
        <v>5.7495321605379743</v>
      </c>
      <c r="G62" s="629">
        <v>0</v>
      </c>
      <c r="H62" s="629">
        <v>0</v>
      </c>
      <c r="I62" s="629">
        <v>3.8022672551332484</v>
      </c>
      <c r="J62" s="629">
        <v>0</v>
      </c>
      <c r="K62" s="629">
        <v>0</v>
      </c>
      <c r="L62" s="629">
        <v>3.8885869393234707</v>
      </c>
      <c r="M62" s="629">
        <v>0</v>
      </c>
      <c r="N62" s="629">
        <v>4.0989555143980496</v>
      </c>
      <c r="O62" s="629">
        <v>0</v>
      </c>
      <c r="P62" s="645">
        <v>8.146819534281974</v>
      </c>
      <c r="Q62" s="637">
        <v>25.686161403674717</v>
      </c>
      <c r="R62" s="637">
        <v>63.665227624718</v>
      </c>
      <c r="S62" s="637">
        <v>109.35849849905878</v>
      </c>
    </row>
    <row r="63" spans="1:19" x14ac:dyDescent="0.25">
      <c r="A63" s="630" t="s">
        <v>1144</v>
      </c>
      <c r="B63" s="630" t="s">
        <v>1151</v>
      </c>
      <c r="C63" s="630" t="s">
        <v>1149</v>
      </c>
      <c r="D63" s="630" t="s">
        <v>40</v>
      </c>
      <c r="E63" s="629">
        <v>0</v>
      </c>
      <c r="F63" s="629">
        <v>4.2801127522935722</v>
      </c>
      <c r="G63" s="629">
        <v>32.556945229357794</v>
      </c>
      <c r="H63" s="629">
        <v>14.580522339449544</v>
      </c>
      <c r="I63" s="629">
        <v>29.992237431192663</v>
      </c>
      <c r="J63" s="629">
        <v>6.6778479816513752</v>
      </c>
      <c r="K63" s="629">
        <v>20.537452293577985</v>
      </c>
      <c r="L63" s="629">
        <v>57.150149036697243</v>
      </c>
      <c r="M63" s="629">
        <v>60.572405917431247</v>
      </c>
      <c r="N63" s="629">
        <v>4.8920393577981613</v>
      </c>
      <c r="O63" s="629">
        <v>31.435454862385342</v>
      </c>
      <c r="P63" s="645">
        <v>86.522314587156018</v>
      </c>
      <c r="Q63" s="637">
        <v>349.1974817889909</v>
      </c>
      <c r="R63" s="637">
        <v>389.39619266055047</v>
      </c>
      <c r="S63" s="637">
        <v>494.61137614678955</v>
      </c>
    </row>
    <row r="64" spans="1:19" x14ac:dyDescent="0.25">
      <c r="A64" s="630" t="s">
        <v>1144</v>
      </c>
      <c r="B64" s="630" t="s">
        <v>1151</v>
      </c>
      <c r="C64" s="630" t="s">
        <v>1149</v>
      </c>
      <c r="D64" s="630" t="s">
        <v>38</v>
      </c>
      <c r="E64" s="629">
        <v>3.2556513761467869</v>
      </c>
      <c r="F64" s="629">
        <v>3.2556513761467869</v>
      </c>
      <c r="G64" s="629">
        <v>12.239743119266052</v>
      </c>
      <c r="H64" s="629">
        <v>12.084394495412841</v>
      </c>
      <c r="I64" s="629">
        <v>10.456568807339446</v>
      </c>
      <c r="J64" s="629">
        <v>10.456568807339446</v>
      </c>
      <c r="K64" s="629">
        <v>9.684394495412846</v>
      </c>
      <c r="L64" s="629">
        <v>12.084394495412841</v>
      </c>
      <c r="M64" s="629">
        <v>8.0565688073394508</v>
      </c>
      <c r="N64" s="629">
        <v>5.6556513761467855</v>
      </c>
      <c r="O64" s="629">
        <v>5.6556513761467855</v>
      </c>
      <c r="P64" s="645">
        <v>9.684394495412846</v>
      </c>
      <c r="Q64" s="637">
        <v>102.56963302752294</v>
      </c>
      <c r="R64" s="637">
        <v>146.7240366972477</v>
      </c>
      <c r="S64" s="637">
        <v>81.38761467889907</v>
      </c>
    </row>
    <row r="65" spans="1:19" x14ac:dyDescent="0.25">
      <c r="A65" s="630" t="s">
        <v>1144</v>
      </c>
      <c r="B65" s="630" t="s">
        <v>1151</v>
      </c>
      <c r="C65" s="630" t="s">
        <v>1150</v>
      </c>
      <c r="D65" s="630" t="s">
        <v>40</v>
      </c>
      <c r="E65" s="629">
        <v>0</v>
      </c>
      <c r="F65" s="629">
        <v>0</v>
      </c>
      <c r="G65" s="629">
        <v>0</v>
      </c>
      <c r="H65" s="629">
        <v>19.180000000000007</v>
      </c>
      <c r="I65" s="629">
        <v>0</v>
      </c>
      <c r="J65" s="629">
        <v>19.180000000000007</v>
      </c>
      <c r="K65" s="629">
        <v>23.024000000000001</v>
      </c>
      <c r="L65" s="629">
        <v>0</v>
      </c>
      <c r="M65" s="629">
        <v>19.180000000000007</v>
      </c>
      <c r="N65" s="629">
        <v>31.366000000000014</v>
      </c>
      <c r="O65" s="629">
        <v>19.180000000000007</v>
      </c>
      <c r="P65" s="645">
        <v>31.366000000000014</v>
      </c>
      <c r="Q65" s="637">
        <v>162.47600000000006</v>
      </c>
      <c r="R65" s="637">
        <v>166.57799999999997</v>
      </c>
      <c r="S65" s="637">
        <v>171.57533999999998</v>
      </c>
    </row>
    <row r="66" spans="1:19" x14ac:dyDescent="0.25">
      <c r="A66" s="630" t="s">
        <v>1144</v>
      </c>
      <c r="B66" s="630" t="s">
        <v>1151</v>
      </c>
      <c r="C66" s="630" t="s">
        <v>1150</v>
      </c>
      <c r="D66" s="630" t="s">
        <v>38</v>
      </c>
      <c r="E66" s="629">
        <v>0</v>
      </c>
      <c r="F66" s="629">
        <v>0</v>
      </c>
      <c r="G66" s="629">
        <v>0</v>
      </c>
      <c r="H66" s="629">
        <v>2.9710000000000001</v>
      </c>
      <c r="I66" s="629">
        <v>0</v>
      </c>
      <c r="J66" s="629">
        <v>2.9710000000000001</v>
      </c>
      <c r="K66" s="629">
        <v>2.9710000000000001</v>
      </c>
      <c r="L66" s="629">
        <v>0</v>
      </c>
      <c r="M66" s="629">
        <v>2.9710000000000001</v>
      </c>
      <c r="N66" s="629">
        <v>2.9710000000000001</v>
      </c>
      <c r="O66" s="629">
        <v>0</v>
      </c>
      <c r="P66" s="645">
        <v>2.9710000000000001</v>
      </c>
      <c r="Q66" s="637">
        <v>17.826000000000001</v>
      </c>
      <c r="R66" s="637">
        <v>18.361000000000004</v>
      </c>
      <c r="S66" s="637">
        <v>18.911830000000009</v>
      </c>
    </row>
    <row r="67" spans="1:19" x14ac:dyDescent="0.25">
      <c r="A67" s="630" t="s">
        <v>1146</v>
      </c>
      <c r="B67" s="630" t="s">
        <v>1143</v>
      </c>
      <c r="C67" s="630" t="s">
        <v>1150</v>
      </c>
      <c r="D67" s="630" t="s">
        <v>28</v>
      </c>
      <c r="E67" s="629">
        <v>1</v>
      </c>
      <c r="F67" s="629">
        <v>1</v>
      </c>
      <c r="G67" s="629">
        <v>1</v>
      </c>
      <c r="H67" s="629">
        <v>1</v>
      </c>
      <c r="I67" s="629">
        <v>1</v>
      </c>
      <c r="J67" s="629">
        <v>1</v>
      </c>
      <c r="K67" s="629">
        <v>1</v>
      </c>
      <c r="L67" s="629">
        <v>1</v>
      </c>
      <c r="M67" s="629">
        <v>1</v>
      </c>
      <c r="N67" s="629">
        <v>1</v>
      </c>
      <c r="O67" s="629">
        <v>1</v>
      </c>
      <c r="P67" s="645">
        <v>2</v>
      </c>
      <c r="Q67" s="637">
        <v>13</v>
      </c>
      <c r="R67" s="637">
        <v>13</v>
      </c>
      <c r="S67" s="637">
        <v>14</v>
      </c>
    </row>
    <row r="68" spans="1:19" x14ac:dyDescent="0.25">
      <c r="A68" s="630" t="s">
        <v>1144</v>
      </c>
      <c r="B68" s="630" t="s">
        <v>1143</v>
      </c>
      <c r="C68" s="630" t="s">
        <v>1150</v>
      </c>
      <c r="D68" s="630" t="s">
        <v>28</v>
      </c>
      <c r="E68" s="629">
        <v>0</v>
      </c>
      <c r="F68" s="629">
        <v>0</v>
      </c>
      <c r="G68" s="629">
        <v>0</v>
      </c>
      <c r="H68" s="629">
        <v>0</v>
      </c>
      <c r="I68" s="629">
        <v>0</v>
      </c>
      <c r="J68" s="629">
        <v>0</v>
      </c>
      <c r="K68" s="629">
        <v>0</v>
      </c>
      <c r="L68" s="629">
        <v>0</v>
      </c>
      <c r="M68" s="629">
        <v>0</v>
      </c>
      <c r="N68" s="629">
        <v>0</v>
      </c>
      <c r="O68" s="629">
        <v>0</v>
      </c>
      <c r="P68" s="645">
        <v>0</v>
      </c>
      <c r="Q68" s="637">
        <v>0</v>
      </c>
      <c r="R68" s="637">
        <v>0</v>
      </c>
      <c r="S68" s="637">
        <v>0</v>
      </c>
    </row>
    <row r="69" spans="1:19" x14ac:dyDescent="0.25">
      <c r="A69" s="630" t="s">
        <v>1144</v>
      </c>
      <c r="B69" s="630" t="s">
        <v>1145</v>
      </c>
      <c r="C69" s="630" t="s">
        <v>1150</v>
      </c>
      <c r="D69" s="630" t="s">
        <v>40</v>
      </c>
      <c r="E69" s="629">
        <v>0</v>
      </c>
      <c r="F69" s="629">
        <v>0</v>
      </c>
      <c r="G69" s="629">
        <v>0</v>
      </c>
      <c r="H69" s="629">
        <v>115.081</v>
      </c>
      <c r="I69" s="629">
        <v>0</v>
      </c>
      <c r="J69" s="629">
        <v>115.081</v>
      </c>
      <c r="K69" s="629">
        <v>133.643</v>
      </c>
      <c r="L69" s="629">
        <v>0</v>
      </c>
      <c r="M69" s="629">
        <v>115.081</v>
      </c>
      <c r="N69" s="629">
        <v>188.197</v>
      </c>
      <c r="O69" s="629">
        <v>115.081</v>
      </c>
      <c r="P69" s="645">
        <v>188.197</v>
      </c>
      <c r="Q69" s="637">
        <v>970.3610000000001</v>
      </c>
      <c r="R69" s="637">
        <v>999.47199999999998</v>
      </c>
      <c r="S69" s="637">
        <v>1029.45616</v>
      </c>
    </row>
    <row r="70" spans="1:19" x14ac:dyDescent="0.25">
      <c r="A70" s="630" t="s">
        <v>1144</v>
      </c>
      <c r="B70" s="630" t="s">
        <v>1143</v>
      </c>
      <c r="C70" s="630" t="s">
        <v>1150</v>
      </c>
      <c r="D70" s="630" t="s">
        <v>40</v>
      </c>
      <c r="E70" s="629">
        <v>0</v>
      </c>
      <c r="F70" s="629">
        <v>0</v>
      </c>
      <c r="G70" s="629">
        <v>0</v>
      </c>
      <c r="H70" s="629">
        <v>1</v>
      </c>
      <c r="I70" s="629">
        <v>0</v>
      </c>
      <c r="J70" s="629">
        <v>1</v>
      </c>
      <c r="K70" s="629">
        <v>1</v>
      </c>
      <c r="L70" s="629">
        <v>0</v>
      </c>
      <c r="M70" s="629">
        <v>1</v>
      </c>
      <c r="N70" s="629">
        <v>1</v>
      </c>
      <c r="O70" s="629">
        <v>1</v>
      </c>
      <c r="P70" s="645">
        <v>1</v>
      </c>
      <c r="Q70" s="637">
        <v>7</v>
      </c>
      <c r="R70" s="637">
        <v>7</v>
      </c>
      <c r="S70" s="637">
        <v>8</v>
      </c>
    </row>
    <row r="71" spans="1:19" x14ac:dyDescent="0.25">
      <c r="A71" s="630" t="s">
        <v>1144</v>
      </c>
      <c r="B71" s="630" t="s">
        <v>1145</v>
      </c>
      <c r="C71" s="630" t="s">
        <v>1150</v>
      </c>
      <c r="D71" s="630" t="s">
        <v>38</v>
      </c>
      <c r="E71" s="629">
        <v>0</v>
      </c>
      <c r="F71" s="629">
        <v>0</v>
      </c>
      <c r="G71" s="629">
        <v>0</v>
      </c>
      <c r="H71" s="629">
        <v>17.823</v>
      </c>
      <c r="I71" s="629">
        <v>0</v>
      </c>
      <c r="J71" s="629">
        <v>17.823</v>
      </c>
      <c r="K71" s="629">
        <v>17.823</v>
      </c>
      <c r="L71" s="629">
        <v>0</v>
      </c>
      <c r="M71" s="629">
        <v>17.823</v>
      </c>
      <c r="N71" s="629">
        <v>17.823</v>
      </c>
      <c r="O71" s="629">
        <v>0</v>
      </c>
      <c r="P71" s="645">
        <v>17.823</v>
      </c>
      <c r="Q71" s="637">
        <v>106.93800000000002</v>
      </c>
      <c r="R71" s="637">
        <v>110.146</v>
      </c>
      <c r="S71" s="637">
        <v>113.45038000000001</v>
      </c>
    </row>
    <row r="72" spans="1:19" x14ac:dyDescent="0.25">
      <c r="A72" s="630" t="s">
        <v>1144</v>
      </c>
      <c r="B72" s="630" t="s">
        <v>1143</v>
      </c>
      <c r="C72" s="630" t="s">
        <v>1150</v>
      </c>
      <c r="D72" s="630" t="s">
        <v>38</v>
      </c>
      <c r="E72" s="629">
        <v>0</v>
      </c>
      <c r="F72" s="629">
        <v>0</v>
      </c>
      <c r="G72" s="629">
        <v>0</v>
      </c>
      <c r="H72" s="629">
        <v>1</v>
      </c>
      <c r="I72" s="629">
        <v>0</v>
      </c>
      <c r="J72" s="629">
        <v>1</v>
      </c>
      <c r="K72" s="629">
        <v>1</v>
      </c>
      <c r="L72" s="629">
        <v>0</v>
      </c>
      <c r="M72" s="629">
        <v>1</v>
      </c>
      <c r="N72" s="629">
        <v>1</v>
      </c>
      <c r="O72" s="629">
        <v>0</v>
      </c>
      <c r="P72" s="645">
        <v>1</v>
      </c>
      <c r="Q72" s="637">
        <v>6</v>
      </c>
      <c r="R72" s="637">
        <v>6</v>
      </c>
      <c r="S72" s="637">
        <v>7</v>
      </c>
    </row>
    <row r="73" spans="1:19" x14ac:dyDescent="0.25">
      <c r="A73" s="630" t="s">
        <v>1146</v>
      </c>
      <c r="B73" s="630" t="s">
        <v>1145</v>
      </c>
      <c r="C73" s="630" t="s">
        <v>1149</v>
      </c>
      <c r="D73" s="630" t="s">
        <v>70</v>
      </c>
      <c r="E73" s="629">
        <v>0</v>
      </c>
      <c r="F73" s="629">
        <v>0</v>
      </c>
      <c r="G73" s="629">
        <v>537.06422018348621</v>
      </c>
      <c r="H73" s="629">
        <v>0</v>
      </c>
      <c r="I73" s="629">
        <v>0</v>
      </c>
      <c r="J73" s="629">
        <v>0</v>
      </c>
      <c r="K73" s="629">
        <v>0</v>
      </c>
      <c r="L73" s="629">
        <v>537.06422018348621</v>
      </c>
      <c r="M73" s="629">
        <v>0</v>
      </c>
      <c r="N73" s="629">
        <v>537.06422018348621</v>
      </c>
      <c r="O73" s="629">
        <v>0</v>
      </c>
      <c r="P73" s="645">
        <v>211.28440366972478</v>
      </c>
      <c r="Q73" s="637">
        <v>1822.4770642201834</v>
      </c>
      <c r="R73" s="637">
        <v>1822.2018348623853</v>
      </c>
      <c r="S73" s="637">
        <v>2033.2110091743118</v>
      </c>
    </row>
    <row r="74" spans="1:19" x14ac:dyDescent="0.25">
      <c r="A74" s="630" t="s">
        <v>1146</v>
      </c>
      <c r="B74" s="630" t="s">
        <v>1143</v>
      </c>
      <c r="C74" s="630" t="s">
        <v>1149</v>
      </c>
      <c r="D74" s="630" t="s">
        <v>70</v>
      </c>
      <c r="E74" s="629">
        <v>0</v>
      </c>
      <c r="F74" s="629">
        <v>0</v>
      </c>
      <c r="G74" s="629">
        <v>1</v>
      </c>
      <c r="H74" s="629">
        <v>0</v>
      </c>
      <c r="I74" s="629">
        <v>0</v>
      </c>
      <c r="J74" s="629">
        <v>0</v>
      </c>
      <c r="K74" s="629">
        <v>0</v>
      </c>
      <c r="L74" s="629">
        <v>1</v>
      </c>
      <c r="M74" s="629">
        <v>0</v>
      </c>
      <c r="N74" s="629">
        <v>1</v>
      </c>
      <c r="O74" s="629">
        <v>0</v>
      </c>
      <c r="P74" s="645">
        <v>1</v>
      </c>
      <c r="Q74" s="637">
        <v>4</v>
      </c>
      <c r="R74" s="637">
        <v>4</v>
      </c>
      <c r="S74" s="637">
        <v>5</v>
      </c>
    </row>
    <row r="75" spans="1:19" x14ac:dyDescent="0.25">
      <c r="A75" s="630" t="s">
        <v>1146</v>
      </c>
      <c r="B75" s="630" t="s">
        <v>1145</v>
      </c>
      <c r="C75" s="630" t="s">
        <v>1149</v>
      </c>
      <c r="D75" s="630" t="s">
        <v>28</v>
      </c>
      <c r="E75" s="629">
        <v>262.20183486238534</v>
      </c>
      <c r="F75" s="629">
        <v>636.78899082568796</v>
      </c>
      <c r="G75" s="629">
        <v>401.92660550458709</v>
      </c>
      <c r="H75" s="629">
        <v>323.66972477064223</v>
      </c>
      <c r="I75" s="629">
        <v>359.54128440366981</v>
      </c>
      <c r="J75" s="629">
        <v>159.17431192660547</v>
      </c>
      <c r="K75" s="629">
        <v>945.22935779816498</v>
      </c>
      <c r="L75" s="629">
        <v>740.36697247706434</v>
      </c>
      <c r="M75" s="629">
        <v>962.20183486238534</v>
      </c>
      <c r="N75" s="629">
        <v>1093.211009174312</v>
      </c>
      <c r="O75" s="629">
        <v>967.43119266055055</v>
      </c>
      <c r="P75" s="645">
        <v>391.37614678899081</v>
      </c>
      <c r="Q75" s="637">
        <v>7243.119266055045</v>
      </c>
      <c r="R75" s="637">
        <v>9501.5577981651368</v>
      </c>
      <c r="S75" s="637">
        <v>10638.529357798165</v>
      </c>
    </row>
    <row r="76" spans="1:19" x14ac:dyDescent="0.25">
      <c r="A76" s="630" t="s">
        <v>1146</v>
      </c>
      <c r="B76" s="630" t="s">
        <v>1143</v>
      </c>
      <c r="C76" s="630" t="s">
        <v>1149</v>
      </c>
      <c r="D76" s="630" t="s">
        <v>28</v>
      </c>
      <c r="E76" s="629">
        <v>2</v>
      </c>
      <c r="F76" s="629">
        <v>6</v>
      </c>
      <c r="G76" s="629">
        <v>4</v>
      </c>
      <c r="H76" s="629">
        <v>3</v>
      </c>
      <c r="I76" s="629">
        <v>6</v>
      </c>
      <c r="J76" s="629">
        <v>5</v>
      </c>
      <c r="K76" s="629">
        <v>6</v>
      </c>
      <c r="L76" s="629">
        <v>6</v>
      </c>
      <c r="M76" s="629">
        <v>6</v>
      </c>
      <c r="N76" s="629">
        <v>7</v>
      </c>
      <c r="O76" s="629">
        <v>5</v>
      </c>
      <c r="P76" s="645">
        <v>4</v>
      </c>
      <c r="Q76" s="637">
        <v>60</v>
      </c>
      <c r="R76" s="637">
        <v>86</v>
      </c>
      <c r="S76" s="637">
        <v>95</v>
      </c>
    </row>
    <row r="77" spans="1:19" x14ac:dyDescent="0.25">
      <c r="A77" s="630" t="s">
        <v>1144</v>
      </c>
      <c r="B77" s="630" t="s">
        <v>1145</v>
      </c>
      <c r="C77" s="630" t="s">
        <v>1149</v>
      </c>
      <c r="D77" s="630" t="s">
        <v>40</v>
      </c>
      <c r="E77" s="629">
        <v>0</v>
      </c>
      <c r="F77" s="629">
        <v>30.458715596330276</v>
      </c>
      <c r="G77" s="629">
        <v>231.69724770642202</v>
      </c>
      <c r="H77" s="629">
        <v>103.76146788990826</v>
      </c>
      <c r="I77" s="629">
        <v>213.44036697247708</v>
      </c>
      <c r="J77" s="629">
        <v>47.522935779816514</v>
      </c>
      <c r="K77" s="629">
        <v>146.14678899082568</v>
      </c>
      <c r="L77" s="629">
        <v>406.69724770642199</v>
      </c>
      <c r="M77" s="629">
        <v>431.05504587155963</v>
      </c>
      <c r="N77" s="629">
        <v>34.816513761467888</v>
      </c>
      <c r="O77" s="629">
        <v>223.71559633027525</v>
      </c>
      <c r="P77" s="645">
        <v>615.73394495412845</v>
      </c>
      <c r="Q77" s="637">
        <v>2485.0458715596333</v>
      </c>
      <c r="R77" s="637">
        <v>2772.7211009174312</v>
      </c>
      <c r="S77" s="637">
        <v>3521.8036697247708</v>
      </c>
    </row>
    <row r="78" spans="1:19" x14ac:dyDescent="0.25">
      <c r="A78" s="630" t="s">
        <v>1144</v>
      </c>
      <c r="B78" s="630" t="s">
        <v>1143</v>
      </c>
      <c r="C78" s="630" t="s">
        <v>1149</v>
      </c>
      <c r="D78" s="630" t="s">
        <v>40</v>
      </c>
      <c r="E78" s="629">
        <v>0</v>
      </c>
      <c r="F78" s="629">
        <v>1</v>
      </c>
      <c r="G78" s="629">
        <v>4</v>
      </c>
      <c r="H78" s="629">
        <v>2</v>
      </c>
      <c r="I78" s="629">
        <v>4</v>
      </c>
      <c r="J78" s="629">
        <v>1</v>
      </c>
      <c r="K78" s="629">
        <v>4</v>
      </c>
      <c r="L78" s="629">
        <v>5</v>
      </c>
      <c r="M78" s="629">
        <v>6</v>
      </c>
      <c r="N78" s="629">
        <v>1</v>
      </c>
      <c r="O78" s="629">
        <v>3</v>
      </c>
      <c r="P78" s="645">
        <v>4</v>
      </c>
      <c r="Q78" s="637">
        <v>35</v>
      </c>
      <c r="R78" s="637">
        <v>43</v>
      </c>
      <c r="S78" s="637">
        <v>56</v>
      </c>
    </row>
    <row r="79" spans="1:19" x14ac:dyDescent="0.25">
      <c r="A79" s="630" t="s">
        <v>1144</v>
      </c>
      <c r="B79" s="630" t="s">
        <v>1145</v>
      </c>
      <c r="C79" s="630" t="s">
        <v>1149</v>
      </c>
      <c r="D79" s="630" t="s">
        <v>38</v>
      </c>
      <c r="E79" s="629">
        <v>23.253816513761468</v>
      </c>
      <c r="F79" s="629">
        <v>23.253816513761468</v>
      </c>
      <c r="G79" s="629">
        <v>87.423229357798164</v>
      </c>
      <c r="H79" s="629">
        <v>75.796321100917424</v>
      </c>
      <c r="I79" s="629">
        <v>64.1694128440367</v>
      </c>
      <c r="J79" s="629">
        <v>64.1694128440367</v>
      </c>
      <c r="K79" s="629">
        <v>62.157788990825694</v>
      </c>
      <c r="L79" s="629">
        <v>75.796321100917424</v>
      </c>
      <c r="M79" s="629">
        <v>50.530880733944954</v>
      </c>
      <c r="N79" s="629">
        <v>36.892348623853209</v>
      </c>
      <c r="O79" s="629">
        <v>36.892348623853209</v>
      </c>
      <c r="P79" s="645">
        <v>62.157788990825694</v>
      </c>
      <c r="Q79" s="637">
        <v>662.493486238532</v>
      </c>
      <c r="R79" s="637">
        <v>928.78642201834873</v>
      </c>
      <c r="S79" s="637">
        <v>581.34541284403667</v>
      </c>
    </row>
    <row r="80" spans="1:19" x14ac:dyDescent="0.25">
      <c r="A80" s="630" t="s">
        <v>1144</v>
      </c>
      <c r="B80" s="630" t="s">
        <v>1143</v>
      </c>
      <c r="C80" s="630" t="s">
        <v>1149</v>
      </c>
      <c r="D80" s="630" t="s">
        <v>38</v>
      </c>
      <c r="E80" s="629">
        <v>2</v>
      </c>
      <c r="F80" s="629">
        <v>2</v>
      </c>
      <c r="G80" s="629">
        <v>7</v>
      </c>
      <c r="H80" s="629">
        <v>6</v>
      </c>
      <c r="I80" s="629">
        <v>5</v>
      </c>
      <c r="J80" s="629">
        <v>5</v>
      </c>
      <c r="K80" s="629">
        <v>5</v>
      </c>
      <c r="L80" s="629">
        <v>6</v>
      </c>
      <c r="M80" s="629">
        <v>4</v>
      </c>
      <c r="N80" s="629">
        <v>3</v>
      </c>
      <c r="O80" s="629">
        <v>3</v>
      </c>
      <c r="P80" s="645">
        <v>5</v>
      </c>
      <c r="Q80" s="637">
        <v>53</v>
      </c>
      <c r="R80" s="637">
        <v>74</v>
      </c>
      <c r="S80" s="637">
        <v>50</v>
      </c>
    </row>
    <row r="81" spans="1:19" x14ac:dyDescent="0.25">
      <c r="A81" s="630" t="s">
        <v>1146</v>
      </c>
      <c r="B81" s="630" t="s">
        <v>1145</v>
      </c>
      <c r="C81" s="630" t="s">
        <v>1148</v>
      </c>
      <c r="D81" s="630" t="s">
        <v>28</v>
      </c>
      <c r="E81" s="629">
        <v>31.540995918367347</v>
      </c>
      <c r="F81" s="629">
        <v>26.693144897959183</v>
      </c>
      <c r="G81" s="629">
        <v>36.996133333333333</v>
      </c>
      <c r="H81" s="629">
        <v>32.256004081632653</v>
      </c>
      <c r="I81" s="629">
        <v>52.646636734693878</v>
      </c>
      <c r="J81" s="629">
        <v>27.502993197278911</v>
      </c>
      <c r="K81" s="629">
        <v>32.987221088435376</v>
      </c>
      <c r="L81" s="629">
        <v>74.279387074829927</v>
      </c>
      <c r="M81" s="629">
        <v>38.692487755102043</v>
      </c>
      <c r="N81" s="629">
        <v>62.07242517006803</v>
      </c>
      <c r="O81" s="629">
        <v>28.549942176870747</v>
      </c>
      <c r="P81" s="645">
        <v>28.764066666666668</v>
      </c>
      <c r="Q81" s="637">
        <v>472.98143809523805</v>
      </c>
      <c r="R81" s="637">
        <v>647.41940544217687</v>
      </c>
      <c r="S81" s="637">
        <v>846.45390680272112</v>
      </c>
    </row>
    <row r="82" spans="1:19" x14ac:dyDescent="0.25">
      <c r="A82" s="630" t="s">
        <v>1146</v>
      </c>
      <c r="B82" s="630" t="s">
        <v>1143</v>
      </c>
      <c r="C82" s="630" t="s">
        <v>1148</v>
      </c>
      <c r="D82" s="630" t="s">
        <v>28</v>
      </c>
      <c r="E82" s="629">
        <v>1</v>
      </c>
      <c r="F82" s="629">
        <v>1</v>
      </c>
      <c r="G82" s="629">
        <v>1</v>
      </c>
      <c r="H82" s="629">
        <v>1</v>
      </c>
      <c r="I82" s="629">
        <v>2</v>
      </c>
      <c r="J82" s="629">
        <v>1</v>
      </c>
      <c r="K82" s="629">
        <v>1</v>
      </c>
      <c r="L82" s="629">
        <v>2</v>
      </c>
      <c r="M82" s="629">
        <v>1</v>
      </c>
      <c r="N82" s="629">
        <v>2</v>
      </c>
      <c r="O82" s="629">
        <v>1</v>
      </c>
      <c r="P82" s="645">
        <v>1</v>
      </c>
      <c r="Q82" s="637">
        <v>15</v>
      </c>
      <c r="R82" s="637">
        <v>18</v>
      </c>
      <c r="S82" s="637">
        <v>22</v>
      </c>
    </row>
    <row r="83" spans="1:19" x14ac:dyDescent="0.25">
      <c r="A83" s="630" t="s">
        <v>1144</v>
      </c>
      <c r="B83" s="630" t="s">
        <v>1145</v>
      </c>
      <c r="C83" s="630" t="s">
        <v>1148</v>
      </c>
      <c r="D83" s="630" t="s">
        <v>40</v>
      </c>
      <c r="E83" s="629">
        <v>0</v>
      </c>
      <c r="F83" s="629">
        <v>46.713002721088436</v>
      </c>
      <c r="G83" s="629">
        <v>0</v>
      </c>
      <c r="H83" s="629">
        <v>0</v>
      </c>
      <c r="I83" s="629">
        <v>25.348380952380953</v>
      </c>
      <c r="J83" s="629">
        <v>0</v>
      </c>
      <c r="K83" s="629">
        <v>0</v>
      </c>
      <c r="L83" s="629">
        <v>25.923007482993196</v>
      </c>
      <c r="M83" s="629">
        <v>0</v>
      </c>
      <c r="N83" s="629">
        <v>27.325361224489797</v>
      </c>
      <c r="O83" s="629">
        <v>0</v>
      </c>
      <c r="P83" s="645">
        <v>66.773726530612251</v>
      </c>
      <c r="Q83" s="637">
        <v>192.08347891156464</v>
      </c>
      <c r="R83" s="637">
        <v>461.33453945578231</v>
      </c>
      <c r="S83" s="637">
        <v>798.22072517006802</v>
      </c>
    </row>
    <row r="84" spans="1:19" x14ac:dyDescent="0.25">
      <c r="A84" s="630" t="s">
        <v>1144</v>
      </c>
      <c r="B84" s="630" t="s">
        <v>1143</v>
      </c>
      <c r="C84" s="630" t="s">
        <v>1148</v>
      </c>
      <c r="D84" s="630" t="s">
        <v>40</v>
      </c>
      <c r="E84" s="629">
        <v>0</v>
      </c>
      <c r="F84" s="629">
        <v>1</v>
      </c>
      <c r="G84" s="629">
        <v>0</v>
      </c>
      <c r="H84" s="629">
        <v>0</v>
      </c>
      <c r="I84" s="629">
        <v>1</v>
      </c>
      <c r="J84" s="629">
        <v>0</v>
      </c>
      <c r="K84" s="629">
        <v>0</v>
      </c>
      <c r="L84" s="629">
        <v>1</v>
      </c>
      <c r="M84" s="629">
        <v>0</v>
      </c>
      <c r="N84" s="629">
        <v>1</v>
      </c>
      <c r="O84" s="629">
        <v>0</v>
      </c>
      <c r="P84" s="645">
        <v>1</v>
      </c>
      <c r="Q84" s="637">
        <v>5</v>
      </c>
      <c r="R84" s="637">
        <v>11</v>
      </c>
      <c r="S84" s="637">
        <v>17</v>
      </c>
    </row>
    <row r="85" spans="1:19" x14ac:dyDescent="0.25">
      <c r="A85" s="630" t="s">
        <v>1146</v>
      </c>
      <c r="B85" s="630" t="s">
        <v>1145</v>
      </c>
      <c r="C85" s="630" t="s">
        <v>1147</v>
      </c>
      <c r="D85" s="630" t="s">
        <v>28</v>
      </c>
      <c r="E85" s="629">
        <v>0</v>
      </c>
      <c r="F85" s="629">
        <v>0</v>
      </c>
      <c r="G85" s="629">
        <v>6.8602057756834665</v>
      </c>
      <c r="H85" s="629">
        <v>55.709704143230255</v>
      </c>
      <c r="I85" s="629">
        <v>6.8602057756834665</v>
      </c>
      <c r="J85" s="629">
        <v>6.8602057756834665</v>
      </c>
      <c r="K85" s="629">
        <v>6.8602057756834665</v>
      </c>
      <c r="L85" s="629">
        <v>6.8602057756834665</v>
      </c>
      <c r="M85" s="629">
        <v>6.8602057756834665</v>
      </c>
      <c r="N85" s="629">
        <v>156.32605551992111</v>
      </c>
      <c r="O85" s="629">
        <v>55.709704143230255</v>
      </c>
      <c r="P85" s="645">
        <v>6.8602057756834665</v>
      </c>
      <c r="Q85" s="637">
        <v>315.76690423616589</v>
      </c>
      <c r="R85" s="637">
        <v>248.69344510808645</v>
      </c>
      <c r="S85" s="637">
        <v>321.46979435999998</v>
      </c>
    </row>
    <row r="86" spans="1:19" x14ac:dyDescent="0.25">
      <c r="A86" s="630" t="s">
        <v>1146</v>
      </c>
      <c r="B86" s="630" t="s">
        <v>1143</v>
      </c>
      <c r="C86" s="630" t="s">
        <v>1147</v>
      </c>
      <c r="D86" s="630" t="s">
        <v>28</v>
      </c>
      <c r="E86" s="629">
        <v>0</v>
      </c>
      <c r="F86" s="629">
        <v>0</v>
      </c>
      <c r="G86" s="629">
        <v>0</v>
      </c>
      <c r="H86" s="629">
        <v>1</v>
      </c>
      <c r="I86" s="629">
        <v>0</v>
      </c>
      <c r="J86" s="629">
        <v>0</v>
      </c>
      <c r="K86" s="629">
        <v>0</v>
      </c>
      <c r="L86" s="629">
        <v>0</v>
      </c>
      <c r="M86" s="629">
        <v>0</v>
      </c>
      <c r="N86" s="629">
        <v>2</v>
      </c>
      <c r="O86" s="629">
        <v>1</v>
      </c>
      <c r="P86" s="645">
        <v>0</v>
      </c>
      <c r="Q86" s="637">
        <v>4</v>
      </c>
      <c r="R86" s="637">
        <v>4</v>
      </c>
      <c r="S86" s="637">
        <v>10</v>
      </c>
    </row>
    <row r="87" spans="1:19" x14ac:dyDescent="0.25">
      <c r="A87" s="630" t="s">
        <v>1146</v>
      </c>
      <c r="B87" s="630" t="s">
        <v>1145</v>
      </c>
      <c r="C87" s="630" t="s">
        <v>1142</v>
      </c>
      <c r="D87" s="630" t="s">
        <v>70</v>
      </c>
      <c r="E87" s="629">
        <v>404.20927743739304</v>
      </c>
      <c r="F87" s="629">
        <v>571.68381464028903</v>
      </c>
      <c r="G87" s="629">
        <v>537.06422018348621</v>
      </c>
      <c r="H87" s="629">
        <v>153.6601</v>
      </c>
      <c r="I87" s="629">
        <v>1035.1167422201456</v>
      </c>
      <c r="J87" s="629">
        <v>644.25104523086111</v>
      </c>
      <c r="K87" s="629">
        <v>1027.1791215773289</v>
      </c>
      <c r="L87" s="629">
        <v>2094.4775839809608</v>
      </c>
      <c r="M87" s="629">
        <v>431.88277261543061</v>
      </c>
      <c r="N87" s="629">
        <v>1212.8654203787735</v>
      </c>
      <c r="O87" s="629">
        <v>1003.5665872557195</v>
      </c>
      <c r="P87" s="645">
        <v>835.00818110711771</v>
      </c>
      <c r="Q87" s="637">
        <v>9950.9648666275043</v>
      </c>
      <c r="R87" s="637">
        <v>10898.156020910006</v>
      </c>
      <c r="S87" s="637">
        <v>12814.948440941012</v>
      </c>
    </row>
    <row r="88" spans="1:19" x14ac:dyDescent="0.25">
      <c r="A88" s="630" t="s">
        <v>1146</v>
      </c>
      <c r="B88" s="630" t="s">
        <v>1143</v>
      </c>
      <c r="C88" s="630" t="s">
        <v>1142</v>
      </c>
      <c r="D88" s="630" t="s">
        <v>70</v>
      </c>
      <c r="E88" s="629">
        <v>2</v>
      </c>
      <c r="F88" s="629">
        <v>1</v>
      </c>
      <c r="G88" s="629">
        <v>1</v>
      </c>
      <c r="H88" s="629">
        <v>1</v>
      </c>
      <c r="I88" s="629">
        <v>3</v>
      </c>
      <c r="J88" s="629">
        <v>3</v>
      </c>
      <c r="K88" s="629">
        <v>2</v>
      </c>
      <c r="L88" s="629">
        <v>5</v>
      </c>
      <c r="M88" s="629">
        <v>2</v>
      </c>
      <c r="N88" s="629">
        <v>4</v>
      </c>
      <c r="O88" s="629">
        <v>3</v>
      </c>
      <c r="P88" s="645">
        <v>4</v>
      </c>
      <c r="Q88" s="637">
        <v>31</v>
      </c>
      <c r="R88" s="637">
        <v>24</v>
      </c>
      <c r="S88" s="637">
        <v>31</v>
      </c>
    </row>
    <row r="89" spans="1:19" x14ac:dyDescent="0.25">
      <c r="A89" s="630" t="s">
        <v>1146</v>
      </c>
      <c r="B89" s="630" t="s">
        <v>1145</v>
      </c>
      <c r="C89" s="630" t="s">
        <v>1142</v>
      </c>
      <c r="D89" s="630" t="s">
        <v>28</v>
      </c>
      <c r="E89" s="629">
        <v>990.69436857069604</v>
      </c>
      <c r="F89" s="629">
        <v>1789.9603340892932</v>
      </c>
      <c r="G89" s="629">
        <v>1731.7095744329092</v>
      </c>
      <c r="H89" s="629">
        <v>1575.4495429021704</v>
      </c>
      <c r="I89" s="629">
        <v>1301.8840733155378</v>
      </c>
      <c r="J89" s="629">
        <v>890.05854944940711</v>
      </c>
      <c r="K89" s="629">
        <v>1754.211279623079</v>
      </c>
      <c r="L89" s="629">
        <v>1367.3091867597491</v>
      </c>
      <c r="M89" s="629">
        <v>1872.9588455568121</v>
      </c>
      <c r="N89" s="629">
        <v>2724.5799181300654</v>
      </c>
      <c r="O89" s="629">
        <v>2091.6141975359628</v>
      </c>
      <c r="P89" s="645">
        <v>1476.115007542207</v>
      </c>
      <c r="Q89" s="637">
        <v>19566.544877907894</v>
      </c>
      <c r="R89" s="637">
        <v>27523.395528874182</v>
      </c>
      <c r="S89" s="637">
        <v>30118.538789299371</v>
      </c>
    </row>
    <row r="90" spans="1:19" x14ac:dyDescent="0.25">
      <c r="A90" s="630" t="s">
        <v>1146</v>
      </c>
      <c r="B90" s="630" t="s">
        <v>1143</v>
      </c>
      <c r="C90" s="630" t="s">
        <v>1142</v>
      </c>
      <c r="D90" s="630" t="s">
        <v>28</v>
      </c>
      <c r="E90" s="629">
        <v>14</v>
      </c>
      <c r="F90" s="629">
        <v>23</v>
      </c>
      <c r="G90" s="629">
        <v>21</v>
      </c>
      <c r="H90" s="629">
        <v>21</v>
      </c>
      <c r="I90" s="629">
        <v>17</v>
      </c>
      <c r="J90" s="629">
        <v>19</v>
      </c>
      <c r="K90" s="629">
        <v>15</v>
      </c>
      <c r="L90" s="629">
        <v>18</v>
      </c>
      <c r="M90" s="629">
        <v>26</v>
      </c>
      <c r="N90" s="629">
        <v>31</v>
      </c>
      <c r="O90" s="629">
        <v>22</v>
      </c>
      <c r="P90" s="645">
        <v>25</v>
      </c>
      <c r="Q90" s="637">
        <v>252</v>
      </c>
      <c r="R90" s="637">
        <v>280</v>
      </c>
      <c r="S90" s="637">
        <v>306</v>
      </c>
    </row>
    <row r="91" spans="1:19" x14ac:dyDescent="0.25">
      <c r="A91" s="630" t="s">
        <v>1144</v>
      </c>
      <c r="B91" s="630" t="s">
        <v>1143</v>
      </c>
      <c r="C91" s="630" t="s">
        <v>1142</v>
      </c>
      <c r="D91" s="630" t="s">
        <v>28</v>
      </c>
      <c r="E91" s="629">
        <v>0</v>
      </c>
      <c r="F91" s="629">
        <v>0</v>
      </c>
      <c r="G91" s="629">
        <v>0</v>
      </c>
      <c r="H91" s="629">
        <v>0</v>
      </c>
      <c r="I91" s="629">
        <v>0</v>
      </c>
      <c r="J91" s="629">
        <v>0</v>
      </c>
      <c r="K91" s="629">
        <v>0</v>
      </c>
      <c r="L91" s="629">
        <v>0</v>
      </c>
      <c r="M91" s="629">
        <v>0</v>
      </c>
      <c r="N91" s="629">
        <v>0</v>
      </c>
      <c r="O91" s="629">
        <v>0</v>
      </c>
      <c r="P91" s="645">
        <v>0</v>
      </c>
      <c r="Q91" s="637">
        <v>0</v>
      </c>
      <c r="R91" s="637">
        <v>0</v>
      </c>
      <c r="S91" s="637">
        <v>0</v>
      </c>
    </row>
    <row r="92" spans="1:19" x14ac:dyDescent="0.25">
      <c r="A92" s="630" t="s">
        <v>1144</v>
      </c>
      <c r="B92" s="630" t="s">
        <v>1145</v>
      </c>
      <c r="C92" s="630" t="s">
        <v>1142</v>
      </c>
      <c r="D92" s="630" t="s">
        <v>40</v>
      </c>
      <c r="E92" s="629">
        <v>100.76880039392826</v>
      </c>
      <c r="F92" s="629">
        <v>506.46815085796635</v>
      </c>
      <c r="G92" s="629">
        <v>365.24258680639355</v>
      </c>
      <c r="H92" s="629">
        <v>426.32558035002381</v>
      </c>
      <c r="I92" s="629">
        <v>560.6025265626472</v>
      </c>
      <c r="J92" s="629">
        <v>370.08704823993202</v>
      </c>
      <c r="K92" s="629">
        <v>380.55858938475399</v>
      </c>
      <c r="L92" s="629">
        <v>640.1033676495307</v>
      </c>
      <c r="M92" s="629">
        <v>720.84261962563198</v>
      </c>
      <c r="N92" s="629">
        <v>383.88421408592922</v>
      </c>
      <c r="O92" s="629">
        <v>601.24825131223281</v>
      </c>
      <c r="P92" s="645">
        <v>1151.1163455235669</v>
      </c>
      <c r="Q92" s="637">
        <v>6207.2480807925376</v>
      </c>
      <c r="R92" s="637">
        <v>7271.2923113920106</v>
      </c>
      <c r="S92" s="637">
        <v>9078.9064159803711</v>
      </c>
    </row>
    <row r="93" spans="1:19" x14ac:dyDescent="0.25">
      <c r="A93" s="630" t="s">
        <v>1144</v>
      </c>
      <c r="B93" s="630" t="s">
        <v>1143</v>
      </c>
      <c r="C93" s="630" t="s">
        <v>1142</v>
      </c>
      <c r="D93" s="630" t="s">
        <v>40</v>
      </c>
      <c r="E93" s="629">
        <v>2</v>
      </c>
      <c r="F93" s="629">
        <v>8</v>
      </c>
      <c r="G93" s="629">
        <v>7</v>
      </c>
      <c r="H93" s="629">
        <v>7</v>
      </c>
      <c r="I93" s="629">
        <v>13</v>
      </c>
      <c r="J93" s="629">
        <v>6</v>
      </c>
      <c r="K93" s="629">
        <v>7</v>
      </c>
      <c r="L93" s="629">
        <v>10</v>
      </c>
      <c r="M93" s="629">
        <v>10</v>
      </c>
      <c r="N93" s="629">
        <v>6</v>
      </c>
      <c r="O93" s="629">
        <v>9</v>
      </c>
      <c r="P93" s="645">
        <v>12</v>
      </c>
      <c r="Q93" s="637">
        <v>97</v>
      </c>
      <c r="R93" s="637">
        <v>127</v>
      </c>
      <c r="S93" s="637">
        <v>165</v>
      </c>
    </row>
    <row r="94" spans="1:19" x14ac:dyDescent="0.25">
      <c r="A94" s="630" t="s">
        <v>1144</v>
      </c>
      <c r="B94" s="630" t="s">
        <v>1145</v>
      </c>
      <c r="C94" s="630" t="s">
        <v>1142</v>
      </c>
      <c r="D94" s="630" t="s">
        <v>38</v>
      </c>
      <c r="E94" s="629">
        <v>105.74397974092422</v>
      </c>
      <c r="F94" s="629">
        <v>153.47576703795744</v>
      </c>
      <c r="G94" s="629">
        <v>202.93384971858401</v>
      </c>
      <c r="H94" s="629">
        <v>227.93452773793788</v>
      </c>
      <c r="I94" s="629">
        <v>187.96563729167582</v>
      </c>
      <c r="J94" s="629">
        <v>208.25068892005999</v>
      </c>
      <c r="K94" s="629">
        <v>192.44242900686331</v>
      </c>
      <c r="L94" s="629">
        <v>201.82592365108462</v>
      </c>
      <c r="M94" s="629">
        <v>197.43246362886035</v>
      </c>
      <c r="N94" s="629">
        <v>157.71752712030954</v>
      </c>
      <c r="O94" s="629">
        <v>195.29449998438449</v>
      </c>
      <c r="P94" s="645">
        <v>267.02048823940447</v>
      </c>
      <c r="Q94" s="637">
        <v>2298.0377820780463</v>
      </c>
      <c r="R94" s="637">
        <v>1836.6070378289885</v>
      </c>
      <c r="S94" s="637">
        <v>1203.6383767560919</v>
      </c>
    </row>
    <row r="95" spans="1:19" ht="15.75" thickBot="1" x14ac:dyDescent="0.3">
      <c r="A95" s="630" t="s">
        <v>1144</v>
      </c>
      <c r="B95" s="630" t="s">
        <v>1143</v>
      </c>
      <c r="C95" s="630" t="s">
        <v>1142</v>
      </c>
      <c r="D95" s="630" t="s">
        <v>38</v>
      </c>
      <c r="E95" s="629">
        <v>10</v>
      </c>
      <c r="F95" s="629">
        <v>14</v>
      </c>
      <c r="G95" s="629">
        <v>18</v>
      </c>
      <c r="H95" s="629">
        <v>20</v>
      </c>
      <c r="I95" s="629">
        <v>18</v>
      </c>
      <c r="J95" s="629">
        <v>19</v>
      </c>
      <c r="K95" s="629">
        <v>18</v>
      </c>
      <c r="L95" s="629">
        <v>19</v>
      </c>
      <c r="M95" s="629">
        <v>18</v>
      </c>
      <c r="N95" s="629">
        <v>14</v>
      </c>
      <c r="O95" s="629">
        <v>16</v>
      </c>
      <c r="P95" s="645">
        <v>21</v>
      </c>
      <c r="Q95" s="638">
        <v>205</v>
      </c>
      <c r="R95" s="638">
        <v>251</v>
      </c>
      <c r="S95" s="638">
        <v>263</v>
      </c>
    </row>
    <row r="96" spans="1:19" x14ac:dyDescent="0.25">
      <c r="R96" s="628"/>
      <c r="S96" s="628"/>
    </row>
  </sheetData>
  <autoFilter ref="A3:S95">
    <sortState ref="A4:S95">
      <sortCondition ref="C3:C95"/>
    </sortState>
  </autoFilter>
  <mergeCells count="1">
    <mergeCell ref="E1:P1"/>
  </mergeCells>
  <pageMargins left="0.7" right="0.7" top="0.75" bottom="0.75" header="0.3" footer="0.3"/>
  <pageSetup paperSize="9" scale="3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N26"/>
  <sheetViews>
    <sheetView showGridLines="0" tabSelected="1" zoomScale="115" zoomScaleNormal="115" workbookViewId="0">
      <pane xSplit="4" ySplit="2" topLeftCell="E6" activePane="bottomRight" state="frozen"/>
      <selection pane="topRight" activeCell="F1" sqref="F1"/>
      <selection pane="bottomLeft" activeCell="A4" sqref="A4"/>
      <selection pane="bottomRight" activeCell="D9" sqref="D9"/>
    </sheetView>
  </sheetViews>
  <sheetFormatPr baseColWidth="10" defaultColWidth="10.85546875" defaultRowHeight="12.75" x14ac:dyDescent="0.2"/>
  <cols>
    <col min="1" max="1" width="33" style="2" customWidth="1"/>
    <col min="2" max="2" width="11.7109375" style="3" customWidth="1"/>
    <col min="3" max="3" width="10.7109375" style="1" customWidth="1"/>
    <col min="4" max="4" width="7.42578125" style="434" bestFit="1" customWidth="1"/>
    <col min="5" max="5" width="9.85546875" style="3" customWidth="1"/>
    <col min="6" max="6" width="9.140625" style="1" customWidth="1"/>
    <col min="7" max="7" width="7.28515625" style="434" bestFit="1" customWidth="1"/>
    <col min="8" max="8" width="13.28515625" style="3" bestFit="1" customWidth="1"/>
    <col min="9" max="9" width="10.28515625" style="1" customWidth="1"/>
    <col min="10" max="10" width="10.42578125" style="434" bestFit="1" customWidth="1"/>
    <col min="11" max="11" width="8.85546875" style="3" customWidth="1"/>
    <col min="12" max="12" width="10" style="1" customWidth="1"/>
    <col min="13" max="13" width="10.42578125" style="434" bestFit="1" customWidth="1"/>
    <col min="14" max="14" width="8.5703125" style="3" customWidth="1"/>
    <col min="15" max="15" width="12.140625" style="1" customWidth="1"/>
    <col min="16" max="16" width="13.42578125" style="434" customWidth="1"/>
    <col min="17" max="17" width="11.7109375" style="3" customWidth="1"/>
    <col min="18" max="18" width="10.140625" style="1" customWidth="1"/>
    <col min="19" max="19" width="12.42578125" style="434" bestFit="1" customWidth="1"/>
    <col min="20" max="20" width="11.140625" style="3" customWidth="1"/>
    <col min="21" max="21" width="9.28515625" style="1" customWidth="1"/>
    <col min="22" max="22" width="11.42578125" style="434" bestFit="1" customWidth="1"/>
    <col min="23" max="23" width="11" style="3" customWidth="1"/>
    <col min="24" max="24" width="9.28515625" style="1" customWidth="1"/>
    <col min="25" max="25" width="7.28515625" style="434" customWidth="1"/>
    <col min="26" max="26" width="11.140625" style="3" customWidth="1"/>
    <col min="27" max="27" width="13.42578125" style="1" bestFit="1" customWidth="1"/>
    <col min="28" max="28" width="7.28515625" style="434" customWidth="1"/>
    <col min="29" max="29" width="10.42578125" style="3" customWidth="1"/>
    <col min="30" max="30" width="10.42578125" style="1" customWidth="1"/>
    <col min="31" max="31" width="9" style="434" bestFit="1" customWidth="1"/>
    <col min="32" max="32" width="9.7109375" style="3" customWidth="1"/>
    <col min="33" max="33" width="10.7109375" style="1" customWidth="1"/>
    <col min="34" max="34" width="7.28515625" style="434" customWidth="1"/>
    <col min="35" max="35" width="10" style="3" customWidth="1"/>
    <col min="36" max="36" width="14" style="1" bestFit="1" customWidth="1"/>
    <col min="37" max="37" width="16.42578125" style="434" bestFit="1" customWidth="1"/>
    <col min="38" max="38" width="12.5703125" style="3" customWidth="1"/>
    <col min="39" max="39" width="13.5703125" style="1" customWidth="1"/>
    <col min="40" max="40" width="10.140625" style="434" customWidth="1"/>
    <col min="41" max="41" width="10.85546875" style="1"/>
    <col min="42" max="42" width="11.42578125" style="1" bestFit="1" customWidth="1"/>
    <col min="43" max="43" width="12.42578125" style="1" bestFit="1" customWidth="1"/>
    <col min="44" max="16384" width="10.85546875" style="1"/>
  </cols>
  <sheetData>
    <row r="1" spans="1:40" s="4" customFormat="1" ht="22.5" customHeight="1" x14ac:dyDescent="0.25">
      <c r="A1" s="743" t="s">
        <v>24</v>
      </c>
      <c r="B1" s="745" t="s">
        <v>0</v>
      </c>
      <c r="C1" s="746"/>
      <c r="D1" s="747"/>
      <c r="E1" s="741">
        <v>45658</v>
      </c>
      <c r="F1" s="741"/>
      <c r="G1" s="742"/>
      <c r="H1" s="740">
        <v>45689</v>
      </c>
      <c r="I1" s="741"/>
      <c r="J1" s="742"/>
      <c r="K1" s="740">
        <v>45717</v>
      </c>
      <c r="L1" s="741"/>
      <c r="M1" s="742"/>
      <c r="N1" s="740">
        <v>45748</v>
      </c>
      <c r="O1" s="741"/>
      <c r="P1" s="742"/>
      <c r="Q1" s="740">
        <v>45778</v>
      </c>
      <c r="R1" s="741"/>
      <c r="S1" s="742"/>
      <c r="T1" s="740">
        <v>45809</v>
      </c>
      <c r="U1" s="741"/>
      <c r="V1" s="742"/>
      <c r="W1" s="740">
        <v>45839</v>
      </c>
      <c r="X1" s="741"/>
      <c r="Y1" s="742"/>
      <c r="Z1" s="740">
        <v>45870</v>
      </c>
      <c r="AA1" s="741"/>
      <c r="AB1" s="742"/>
      <c r="AC1" s="740">
        <v>45901</v>
      </c>
      <c r="AD1" s="741"/>
      <c r="AE1" s="742"/>
      <c r="AF1" s="740">
        <v>45931</v>
      </c>
      <c r="AG1" s="741"/>
      <c r="AH1" s="742"/>
      <c r="AI1" s="740">
        <v>45962</v>
      </c>
      <c r="AJ1" s="741"/>
      <c r="AK1" s="742"/>
      <c r="AL1" s="740">
        <v>45992</v>
      </c>
      <c r="AM1" s="741"/>
      <c r="AN1" s="742"/>
    </row>
    <row r="2" spans="1:40" s="5" customFormat="1" ht="17.100000000000001" customHeight="1" thickBot="1" x14ac:dyDescent="0.3">
      <c r="A2" s="744"/>
      <c r="B2" s="414" t="s">
        <v>1</v>
      </c>
      <c r="C2" s="6" t="s">
        <v>2</v>
      </c>
      <c r="D2" s="7" t="s">
        <v>3</v>
      </c>
      <c r="E2" s="412" t="s">
        <v>1</v>
      </c>
      <c r="F2" s="6" t="s">
        <v>2</v>
      </c>
      <c r="G2" s="6" t="s">
        <v>3</v>
      </c>
      <c r="H2" s="8" t="s">
        <v>1</v>
      </c>
      <c r="I2" s="6" t="s">
        <v>2</v>
      </c>
      <c r="J2" s="6" t="s">
        <v>3</v>
      </c>
      <c r="K2" s="8" t="s">
        <v>1</v>
      </c>
      <c r="L2" s="6" t="s">
        <v>2</v>
      </c>
      <c r="M2" s="6" t="s">
        <v>3</v>
      </c>
      <c r="N2" s="8" t="s">
        <v>1</v>
      </c>
      <c r="O2" s="6" t="s">
        <v>2</v>
      </c>
      <c r="P2" s="6" t="s">
        <v>3</v>
      </c>
      <c r="Q2" s="8" t="s">
        <v>1</v>
      </c>
      <c r="R2" s="6" t="s">
        <v>2</v>
      </c>
      <c r="S2" s="6" t="s">
        <v>3</v>
      </c>
      <c r="T2" s="8" t="s">
        <v>1</v>
      </c>
      <c r="U2" s="6" t="s">
        <v>2</v>
      </c>
      <c r="V2" s="6" t="s">
        <v>3</v>
      </c>
      <c r="W2" s="8" t="s">
        <v>1</v>
      </c>
      <c r="X2" s="6" t="s">
        <v>2</v>
      </c>
      <c r="Y2" s="6" t="s">
        <v>3</v>
      </c>
      <c r="Z2" s="8" t="s">
        <v>1</v>
      </c>
      <c r="AA2" s="6" t="s">
        <v>2</v>
      </c>
      <c r="AB2" s="6" t="s">
        <v>3</v>
      </c>
      <c r="AC2" s="8" t="s">
        <v>1</v>
      </c>
      <c r="AD2" s="6" t="s">
        <v>2</v>
      </c>
      <c r="AE2" s="6" t="s">
        <v>3</v>
      </c>
      <c r="AF2" s="8" t="s">
        <v>1</v>
      </c>
      <c r="AG2" s="6" t="s">
        <v>2</v>
      </c>
      <c r="AH2" s="6" t="s">
        <v>3</v>
      </c>
      <c r="AI2" s="8" t="s">
        <v>1</v>
      </c>
      <c r="AJ2" s="6" t="s">
        <v>2</v>
      </c>
      <c r="AK2" s="6" t="s">
        <v>3</v>
      </c>
      <c r="AL2" s="8" t="s">
        <v>1</v>
      </c>
      <c r="AM2" s="6" t="s">
        <v>2</v>
      </c>
      <c r="AN2" s="7" t="s">
        <v>3</v>
      </c>
    </row>
    <row r="3" spans="1:40" s="447" customFormat="1" ht="24.6" customHeight="1" x14ac:dyDescent="0.25">
      <c r="A3" s="444" t="s">
        <v>4</v>
      </c>
      <c r="B3" s="418">
        <f>+'KPI_VENDEUR 1'!B3+'KPI_VENDEUR 2'!B3+'KPI_VENDEUR 5'!B3+'KPI_VENDEUR 4'!B3+'KPI_VENDEUR 3'!B3</f>
        <v>0</v>
      </c>
      <c r="C3" s="427">
        <f>+'KPI_VENDEUR 1'!C3+'KPI_VENDEUR 2'!C3+'KPI_VENDEUR 5'!C3+'KPI_VENDEUR 4'!C3+'KPI_VENDEUR 3'!C3</f>
        <v>0</v>
      </c>
      <c r="D3" s="419" t="e">
        <f>C3/B3</f>
        <v>#DIV/0!</v>
      </c>
      <c r="E3" s="442">
        <f>+'KPI_VENDEUR 1'!E3+'KPI_VENDEUR 2'!E3+'KPI_VENDEUR 5'!E3+'KPI_VENDEUR 4'!E3+'KPI_VENDEUR 3'!E3</f>
        <v>0</v>
      </c>
      <c r="F3" s="457">
        <f>+'KPI_VENDEUR 1'!F3+'KPI_VENDEUR 2'!F3+'KPI_VENDEUR 5'!F3+'KPI_VENDEUR 4'!F3+'KPI_VENDEUR 3'!F3</f>
        <v>0</v>
      </c>
      <c r="G3" s="445" t="e">
        <f>F3/E3</f>
        <v>#DIV/0!</v>
      </c>
      <c r="H3" s="427">
        <f>+'KPI_VENDEUR 1'!H3+'KPI_VENDEUR 2'!H3+'KPI_VENDEUR 5'!H3+'KPI_VENDEUR 4'!H3+'KPI_VENDEUR 3'!H3</f>
        <v>0</v>
      </c>
      <c r="I3" s="427">
        <f>+'KPI_VENDEUR 1'!I3+'KPI_VENDEUR 2'!I3+'KPI_VENDEUR 5'!I3+'KPI_VENDEUR 4'!I3+'KPI_VENDEUR 3'!I3</f>
        <v>0</v>
      </c>
      <c r="J3" s="446" t="e">
        <f t="shared" ref="J3" si="0">I3/H3</f>
        <v>#DIV/0!</v>
      </c>
      <c r="K3" s="427">
        <f>+'KPI_VENDEUR 1'!K3+'KPI_VENDEUR 2'!K3+'KPI_VENDEUR 5'!K3+'KPI_VENDEUR 4'!K3+'KPI_VENDEUR 3'!K3</f>
        <v>0</v>
      </c>
      <c r="L3" s="427">
        <f>+'KPI_VENDEUR 1'!L3+'KPI_VENDEUR 2'!L3+'KPI_VENDEUR 5'!L3+'KPI_VENDEUR 4'!L3+'KPI_VENDEUR 3'!L3</f>
        <v>0</v>
      </c>
      <c r="M3" s="445" t="e">
        <f t="shared" ref="M3:M4" si="1">L3/K3</f>
        <v>#DIV/0!</v>
      </c>
      <c r="N3" s="427">
        <f>+'KPI_VENDEUR 1'!N3+'KPI_VENDEUR 2'!N3+'KPI_VENDEUR 5'!N3+'KPI_VENDEUR 4'!N3+'KPI_VENDEUR 3'!N3</f>
        <v>0</v>
      </c>
      <c r="O3" s="427">
        <f>+'KPI_VENDEUR 1'!O3+'KPI_VENDEUR 2'!O3+'KPI_VENDEUR 5'!O3+'KPI_VENDEUR 4'!O3+'KPI_VENDEUR 3'!O3</f>
        <v>0</v>
      </c>
      <c r="P3" s="445" t="e">
        <f t="shared" ref="P3:P4" si="2">O3/N3</f>
        <v>#DIV/0!</v>
      </c>
      <c r="Q3" s="427">
        <f>+'KPI_VENDEUR 1'!Q3+'KPI_VENDEUR 2'!Q3+'KPI_VENDEUR 5'!Q3+'KPI_VENDEUR 4'!Q3+'KPI_VENDEUR 3'!Q3</f>
        <v>0</v>
      </c>
      <c r="R3" s="427">
        <f>+'KPI_VENDEUR 1'!R3+'KPI_VENDEUR 2'!R3+'KPI_VENDEUR 5'!R3+'KPI_VENDEUR 4'!R3+'KPI_VENDEUR 3'!R3</f>
        <v>0</v>
      </c>
      <c r="S3" s="445" t="e">
        <f t="shared" ref="S3:S4" si="3">R3/Q3</f>
        <v>#DIV/0!</v>
      </c>
      <c r="T3" s="427">
        <f>+'KPI_VENDEUR 1'!T3+'KPI_VENDEUR 2'!T3+'KPI_VENDEUR 5'!T3+'KPI_VENDEUR 4'!T3+'KPI_VENDEUR 3'!T3</f>
        <v>0</v>
      </c>
      <c r="U3" s="427">
        <f>+'KPI_VENDEUR 1'!U3+'KPI_VENDEUR 2'!U3+'KPI_VENDEUR 5'!U3+'KPI_VENDEUR 4'!U3+'KPI_VENDEUR 3'!U3</f>
        <v>0</v>
      </c>
      <c r="V3" s="445" t="e">
        <f t="shared" ref="V3:V4" si="4">U3/T3</f>
        <v>#DIV/0!</v>
      </c>
      <c r="W3" s="427">
        <f>+'KPI_VENDEUR 1'!W3+'KPI_VENDEUR 2'!W3+'KPI_VENDEUR 5'!W3+'KPI_VENDEUR 4'!W3+'KPI_VENDEUR 3'!W3</f>
        <v>0</v>
      </c>
      <c r="X3" s="427">
        <f>+'KPI_VENDEUR 1'!X3+'KPI_VENDEUR 2'!X3+'KPI_VENDEUR 5'!X3+'KPI_VENDEUR 4'!X3+'KPI_VENDEUR 3'!X3</f>
        <v>0</v>
      </c>
      <c r="Y3" s="445" t="e">
        <f>X3/W3</f>
        <v>#DIV/0!</v>
      </c>
      <c r="Z3" s="427">
        <f>+'KPI_VENDEUR 1'!Z3+'KPI_VENDEUR 2'!Z3+'KPI_VENDEUR 5'!Z3+'KPI_VENDEUR 4'!Z3+'KPI_VENDEUR 3'!Z3</f>
        <v>0</v>
      </c>
      <c r="AA3" s="427">
        <f>+'KPI_VENDEUR 1'!AA3+'KPI_VENDEUR 2'!AA3+'KPI_VENDEUR 5'!AA3+'KPI_VENDEUR 4'!AA3+'KPI_VENDEUR 3'!AA3</f>
        <v>0</v>
      </c>
      <c r="AB3" s="445" t="e">
        <f>AA3/Z3</f>
        <v>#DIV/0!</v>
      </c>
      <c r="AC3" s="427">
        <f>+'KPI_VENDEUR 1'!AC3+'KPI_VENDEUR 2'!AC3+'KPI_VENDEUR 5'!AC3+'KPI_VENDEUR 4'!AC3+'KPI_VENDEUR 3'!AC3</f>
        <v>0</v>
      </c>
      <c r="AD3" s="427">
        <f>+'KPI_VENDEUR 1'!AD3+'KPI_VENDEUR 2'!AD3+'KPI_VENDEUR 5'!AD3+'KPI_VENDEUR 4'!AD3+'KPI_VENDEUR 3'!AD3</f>
        <v>0</v>
      </c>
      <c r="AE3" s="445" t="e">
        <f>AD3/AC3</f>
        <v>#DIV/0!</v>
      </c>
      <c r="AF3" s="427">
        <f>+'KPI_VENDEUR 1'!AF3+'KPI_VENDEUR 2'!AF3+'KPI_VENDEUR 5'!AF3+'KPI_VENDEUR 4'!AF3+'KPI_VENDEUR 3'!AF3</f>
        <v>0</v>
      </c>
      <c r="AG3" s="427">
        <f>+'KPI_VENDEUR 1'!AG3+'KPI_VENDEUR 2'!AG3+'KPI_VENDEUR 5'!AG3+'KPI_VENDEUR 4'!AG3+'KPI_VENDEUR 3'!AG3</f>
        <v>0</v>
      </c>
      <c r="AH3" s="445" t="e">
        <f>AG3/AF3</f>
        <v>#DIV/0!</v>
      </c>
      <c r="AI3" s="427">
        <f>+'KPI_VENDEUR 1'!AI3+'KPI_VENDEUR 2'!AI3+'KPI_VENDEUR 5'!AI3+'KPI_VENDEUR 4'!AI3+'KPI_VENDEUR 3'!AI3</f>
        <v>0</v>
      </c>
      <c r="AJ3" s="427">
        <f>+'KPI_VENDEUR 1'!AJ3+'KPI_VENDEUR 2'!AJ3+'KPI_VENDEUR 5'!AJ3+'KPI_VENDEUR 4'!AJ3+'KPI_VENDEUR 3'!AJ3</f>
        <v>0</v>
      </c>
      <c r="AK3" s="445" t="e">
        <f>AJ3/AI3</f>
        <v>#DIV/0!</v>
      </c>
      <c r="AL3" s="427">
        <f>+'KPI_VENDEUR 1'!AL3+'KPI_VENDEUR 2'!AL3+'KPI_VENDEUR 5'!AL3+'KPI_VENDEUR 4'!AL3+'KPI_VENDEUR 3'!AL3</f>
        <v>0</v>
      </c>
      <c r="AM3" s="427">
        <f>+'KPI_VENDEUR 1'!AM3+'KPI_VENDEUR 2'!AM3+'KPI_VENDEUR 5'!AM3+'KPI_VENDEUR 4'!AM3+'KPI_VENDEUR 3'!AM3</f>
        <v>0</v>
      </c>
      <c r="AN3" s="419" t="e">
        <f>AM3/AL3</f>
        <v>#DIV/0!</v>
      </c>
    </row>
    <row r="4" spans="1:40" s="447" customFormat="1" ht="24.6" customHeight="1" x14ac:dyDescent="0.25">
      <c r="A4" s="448" t="s">
        <v>5</v>
      </c>
      <c r="B4" s="420">
        <f>+'KPI_VENDEUR 1'!B4+'KPI_VENDEUR 2'!B4+'KPI_VENDEUR 5'!B4+'KPI_VENDEUR 4'!B4+'KPI_VENDEUR 3'!B4</f>
        <v>0</v>
      </c>
      <c r="C4" s="428">
        <f>+'KPI_VENDEUR 1'!C4+'KPI_VENDEUR 2'!C4+'KPI_VENDEUR 5'!C4+'KPI_VENDEUR 4'!C4+'KPI_VENDEUR 3'!C4</f>
        <v>0</v>
      </c>
      <c r="D4" s="421" t="e">
        <f>C4/B4</f>
        <v>#DIV/0!</v>
      </c>
      <c r="E4" s="443">
        <f>+'KPI_VENDEUR 1'!E4+'KPI_VENDEUR 2'!E4+'KPI_VENDEUR 5'!E4+'KPI_VENDEUR 4'!E4+'KPI_VENDEUR 3'!E4</f>
        <v>0</v>
      </c>
      <c r="F4" s="458">
        <f>+'KPI_VENDEUR 1'!F4+'KPI_VENDEUR 2'!F4+'KPI_VENDEUR 5'!F4+'KPI_VENDEUR 4'!F4+'KPI_VENDEUR 3'!F4</f>
        <v>0</v>
      </c>
      <c r="G4" s="446" t="e">
        <f>F4/E4</f>
        <v>#DIV/0!</v>
      </c>
      <c r="H4" s="449">
        <f>+'KPI_VENDEUR 1'!H4+'KPI_VENDEUR 2'!H4+'KPI_VENDEUR 5'!H4+'KPI_VENDEUR 4'!H4+'KPI_VENDEUR 3'!H4</f>
        <v>0</v>
      </c>
      <c r="I4" s="458">
        <f>+'KPI_VENDEUR 1'!I4+'KPI_VENDEUR 2'!I4+'KPI_VENDEUR 5'!I4+'KPI_VENDEUR 4'!I4+'KPI_VENDEUR 3'!I4</f>
        <v>0</v>
      </c>
      <c r="J4" s="446" t="e">
        <f>I4/H4</f>
        <v>#DIV/0!</v>
      </c>
      <c r="K4" s="449">
        <f>+'KPI_VENDEUR 1'!K4+'KPI_VENDEUR 2'!K4+'KPI_VENDEUR 5'!K4+'KPI_VENDEUR 4'!K4+'KPI_VENDEUR 3'!K4</f>
        <v>0</v>
      </c>
      <c r="L4" s="449">
        <f>+'KPI_VENDEUR 1'!L4+'KPI_VENDEUR 2'!L4+'KPI_VENDEUR 5'!L4+'KPI_VENDEUR 4'!L4+'KPI_VENDEUR 3'!L4</f>
        <v>0</v>
      </c>
      <c r="M4" s="446" t="e">
        <f t="shared" si="1"/>
        <v>#DIV/0!</v>
      </c>
      <c r="N4" s="449">
        <f>+'KPI_VENDEUR 1'!N4+'KPI_VENDEUR 2'!N4+'KPI_VENDEUR 5'!N4+'KPI_VENDEUR 4'!N4+'KPI_VENDEUR 3'!N4</f>
        <v>0</v>
      </c>
      <c r="O4" s="449">
        <f>+'KPI_VENDEUR 1'!O4+'KPI_VENDEUR 2'!O4+'KPI_VENDEUR 5'!O4+'KPI_VENDEUR 4'!O4+'KPI_VENDEUR 3'!O4</f>
        <v>0</v>
      </c>
      <c r="P4" s="446" t="e">
        <f t="shared" si="2"/>
        <v>#DIV/0!</v>
      </c>
      <c r="Q4" s="449">
        <f>+'KPI_VENDEUR 1'!Q4+'KPI_VENDEUR 2'!Q4+'KPI_VENDEUR 5'!Q4+'KPI_VENDEUR 4'!Q4+'KPI_VENDEUR 3'!Q4</f>
        <v>0</v>
      </c>
      <c r="R4" s="449">
        <f>+'KPI_VENDEUR 1'!R4+'KPI_VENDEUR 2'!R4+'KPI_VENDEUR 5'!R4+'KPI_VENDEUR 4'!R4+'KPI_VENDEUR 3'!R4</f>
        <v>0</v>
      </c>
      <c r="S4" s="446" t="e">
        <f t="shared" si="3"/>
        <v>#DIV/0!</v>
      </c>
      <c r="T4" s="449">
        <f>+'KPI_VENDEUR 1'!T4+'KPI_VENDEUR 2'!T4+'KPI_VENDEUR 5'!T4+'KPI_VENDEUR 4'!T4+'KPI_VENDEUR 3'!T4</f>
        <v>0</v>
      </c>
      <c r="U4" s="449">
        <f>+'KPI_VENDEUR 1'!U4+'KPI_VENDEUR 2'!U4+'KPI_VENDEUR 5'!U4+'KPI_VENDEUR 4'!U4+'KPI_VENDEUR 3'!U4</f>
        <v>0</v>
      </c>
      <c r="V4" s="446" t="e">
        <f t="shared" si="4"/>
        <v>#DIV/0!</v>
      </c>
      <c r="W4" s="449">
        <f>+'KPI_VENDEUR 1'!W4+'KPI_VENDEUR 2'!W4+'KPI_VENDEUR 5'!W4+'KPI_VENDEUR 4'!W4+'KPI_VENDEUR 3'!W4</f>
        <v>0</v>
      </c>
      <c r="X4" s="449">
        <f>+'KPI_VENDEUR 1'!X4+'KPI_VENDEUR 2'!X4+'KPI_VENDEUR 5'!X4+'KPI_VENDEUR 4'!X4+'KPI_VENDEUR 3'!X4</f>
        <v>0</v>
      </c>
      <c r="Y4" s="446" t="e">
        <f>X4/W4</f>
        <v>#DIV/0!</v>
      </c>
      <c r="Z4" s="449">
        <f>+'KPI_VENDEUR 1'!Z4+'KPI_VENDEUR 2'!Z4+'KPI_VENDEUR 5'!Z4+'KPI_VENDEUR 4'!Z4+'KPI_VENDEUR 3'!Z4</f>
        <v>0</v>
      </c>
      <c r="AA4" s="449">
        <f>+'KPI_VENDEUR 1'!AA4+'KPI_VENDEUR 2'!AA4+'KPI_VENDEUR 5'!AA4+'KPI_VENDEUR 4'!AA4+'KPI_VENDEUR 3'!AA4</f>
        <v>0</v>
      </c>
      <c r="AB4" s="446" t="e">
        <f>AA4/Z4</f>
        <v>#DIV/0!</v>
      </c>
      <c r="AC4" s="449">
        <f>+'KPI_VENDEUR 1'!AC4+'KPI_VENDEUR 2'!AC4+'KPI_VENDEUR 5'!AC4+'KPI_VENDEUR 4'!AC4+'KPI_VENDEUR 3'!AC4</f>
        <v>0</v>
      </c>
      <c r="AD4" s="449">
        <f>+'KPI_VENDEUR 1'!AD4+'KPI_VENDEUR 2'!AD4+'KPI_VENDEUR 5'!AD4+'KPI_VENDEUR 4'!AD4+'KPI_VENDEUR 3'!AD4</f>
        <v>0</v>
      </c>
      <c r="AE4" s="446" t="e">
        <f>AD4/AC4</f>
        <v>#DIV/0!</v>
      </c>
      <c r="AF4" s="449">
        <f>+'KPI_VENDEUR 1'!AF4+'KPI_VENDEUR 2'!AF4+'KPI_VENDEUR 5'!AF4+'KPI_VENDEUR 4'!AF4+'KPI_VENDEUR 3'!AF4</f>
        <v>0</v>
      </c>
      <c r="AG4" s="449">
        <f>+'KPI_VENDEUR 1'!AG4+'KPI_VENDEUR 2'!AG4+'KPI_VENDEUR 5'!AG4+'KPI_VENDEUR 4'!AG4+'KPI_VENDEUR 3'!AG4</f>
        <v>0</v>
      </c>
      <c r="AH4" s="446" t="e">
        <f>AG4/AF4</f>
        <v>#DIV/0!</v>
      </c>
      <c r="AI4" s="449">
        <f>+'KPI_VENDEUR 1'!AI4+'KPI_VENDEUR 2'!AI4+'KPI_VENDEUR 5'!AI4+'KPI_VENDEUR 4'!AI4+'KPI_VENDEUR 3'!AI4</f>
        <v>0</v>
      </c>
      <c r="AJ4" s="449">
        <f>+'KPI_VENDEUR 1'!AJ4+'KPI_VENDEUR 2'!AJ4+'KPI_VENDEUR 5'!AJ4+'KPI_VENDEUR 4'!AJ4+'KPI_VENDEUR 3'!AJ4</f>
        <v>0</v>
      </c>
      <c r="AK4" s="446" t="e">
        <f>AJ4/AI4</f>
        <v>#DIV/0!</v>
      </c>
      <c r="AL4" s="449">
        <f>+'KPI_VENDEUR 1'!AL4+'KPI_VENDEUR 2'!AL4+'KPI_VENDEUR 5'!AL4+'KPI_VENDEUR 4'!AL4+'KPI_VENDEUR 3'!AL4</f>
        <v>0</v>
      </c>
      <c r="AM4" s="449">
        <f>+'KPI_VENDEUR 1'!AM4+'KPI_VENDEUR 2'!AM4+'KPI_VENDEUR 5'!AM4+'KPI_VENDEUR 4'!AM4+'KPI_VENDEUR 3'!AM4</f>
        <v>0</v>
      </c>
      <c r="AN4" s="421" t="e">
        <f>AM4/AL4</f>
        <v>#DIV/0!</v>
      </c>
    </row>
    <row r="5" spans="1:40" s="451" customFormat="1" ht="24.6" customHeight="1" x14ac:dyDescent="0.25">
      <c r="A5" s="448" t="s">
        <v>6</v>
      </c>
      <c r="B5" s="415">
        <f>+'KPI_VENDEUR 1'!B5+'KPI_VENDEUR 2'!B5+'KPI_VENDEUR 5'!B5+'KPI_VENDEUR 4'!B5+'KPI_VENDEUR 3'!B5</f>
        <v>0</v>
      </c>
      <c r="C5" s="428">
        <f>+'KPI_VENDEUR 1'!C5+'KPI_VENDEUR 2'!C5+'KPI_VENDEUR 5'!C5+'KPI_VENDEUR 4'!C5+'KPI_VENDEUR 3'!C5</f>
        <v>0</v>
      </c>
      <c r="D5" s="422" t="e">
        <f>C5/C4</f>
        <v>#DIV/0!</v>
      </c>
      <c r="E5" s="413">
        <f>+'KPI_VENDEUR 1'!E5+'KPI_VENDEUR 2'!E5+'KPI_VENDEUR 5'!E5+'KPI_VENDEUR 4'!E5+'KPI_VENDEUR 3'!E5</f>
        <v>0</v>
      </c>
      <c r="F5" s="428">
        <f>+'KPI_VENDEUR 1'!F5+'KPI_VENDEUR 2'!F5+'KPI_VENDEUR 5'!F5+'KPI_VENDEUR 4'!F5+'KPI_VENDEUR 3'!F5</f>
        <v>0</v>
      </c>
      <c r="G5" s="450" t="e">
        <f>F5/F4</f>
        <v>#DIV/0!</v>
      </c>
      <c r="H5" s="411">
        <f>+'KPI_VENDEUR 1'!H5+'KPI_VENDEUR 2'!H5+'KPI_VENDEUR 5'!H5+'KPI_VENDEUR 4'!H5+'KPI_VENDEUR 3'!H5</f>
        <v>0</v>
      </c>
      <c r="I5" s="449">
        <f>+'KPI_VENDEUR 1'!I5+'KPI_VENDEUR 2'!I5+'KPI_VENDEUR 5'!I5+'KPI_VENDEUR 4'!I5+'KPI_VENDEUR 3'!I5</f>
        <v>0</v>
      </c>
      <c r="J5" s="446" t="e">
        <f>I5/I4</f>
        <v>#DIV/0!</v>
      </c>
      <c r="K5" s="411">
        <f>+'KPI_VENDEUR 1'!K5+'KPI_VENDEUR 2'!K5+'KPI_VENDEUR 5'!K5+'KPI_VENDEUR 4'!K5+'KPI_VENDEUR 3'!K5</f>
        <v>0</v>
      </c>
      <c r="L5" s="449">
        <f>+'KPI_VENDEUR 1'!L5+'KPI_VENDEUR 2'!L5+'KPI_VENDEUR 5'!L5+'KPI_VENDEUR 4'!L5+'KPI_VENDEUR 3'!L5</f>
        <v>0</v>
      </c>
      <c r="M5" s="450" t="e">
        <f>L5/L4</f>
        <v>#DIV/0!</v>
      </c>
      <c r="N5" s="411">
        <f>+'KPI_VENDEUR 1'!N5+'KPI_VENDEUR 2'!N5+'KPI_VENDEUR 5'!N5+'KPI_VENDEUR 4'!N5+'KPI_VENDEUR 3'!N5</f>
        <v>0</v>
      </c>
      <c r="O5" s="449">
        <f>+'KPI_VENDEUR 1'!O5+'KPI_VENDEUR 2'!O5+'KPI_VENDEUR 5'!O5+'KPI_VENDEUR 4'!O5+'KPI_VENDEUR 3'!O5</f>
        <v>0</v>
      </c>
      <c r="P5" s="450" t="e">
        <f>O5/O4</f>
        <v>#DIV/0!</v>
      </c>
      <c r="Q5" s="411">
        <f>+'KPI_VENDEUR 1'!Q5+'KPI_VENDEUR 2'!Q5+'KPI_VENDEUR 5'!Q5+'KPI_VENDEUR 4'!Q5+'KPI_VENDEUR 3'!Q5</f>
        <v>0</v>
      </c>
      <c r="R5" s="449">
        <f>+'KPI_VENDEUR 1'!R5+'KPI_VENDEUR 2'!R5+'KPI_VENDEUR 5'!R5+'KPI_VENDEUR 4'!R5+'KPI_VENDEUR 3'!R5</f>
        <v>0</v>
      </c>
      <c r="S5" s="450" t="e">
        <f>R5/R4</f>
        <v>#DIV/0!</v>
      </c>
      <c r="T5" s="411">
        <f>+'KPI_VENDEUR 1'!T5+'KPI_VENDEUR 2'!T5+'KPI_VENDEUR 5'!T5+'KPI_VENDEUR 4'!T5+'KPI_VENDEUR 3'!T5</f>
        <v>0</v>
      </c>
      <c r="U5" s="449">
        <f>+'KPI_VENDEUR 1'!U5+'KPI_VENDEUR 2'!U5+'KPI_VENDEUR 5'!U5+'KPI_VENDEUR 4'!U5+'KPI_VENDEUR 3'!U5</f>
        <v>0</v>
      </c>
      <c r="V5" s="450" t="e">
        <f>U5/U4</f>
        <v>#DIV/0!</v>
      </c>
      <c r="W5" s="411">
        <f>+'KPI_VENDEUR 1'!W5+'KPI_VENDEUR 2'!W5+'KPI_VENDEUR 5'!W5+'KPI_VENDEUR 4'!W5+'KPI_VENDEUR 3'!W5</f>
        <v>0</v>
      </c>
      <c r="X5" s="449">
        <f>+'KPI_VENDEUR 1'!X5+'KPI_VENDEUR 2'!X5+'KPI_VENDEUR 5'!X5+'KPI_VENDEUR 4'!X5+'KPI_VENDEUR 3'!X5</f>
        <v>0</v>
      </c>
      <c r="Y5" s="450" t="e">
        <f>X5/X4</f>
        <v>#DIV/0!</v>
      </c>
      <c r="Z5" s="411">
        <f>+'KPI_VENDEUR 1'!Z5+'KPI_VENDEUR 2'!Z5+'KPI_VENDEUR 5'!Z5+'KPI_VENDEUR 4'!Z5+'KPI_VENDEUR 3'!Z5</f>
        <v>0</v>
      </c>
      <c r="AA5" s="449">
        <f>+'KPI_VENDEUR 1'!AA5+'KPI_VENDEUR 2'!AA5+'KPI_VENDEUR 5'!AA5+'KPI_VENDEUR 4'!AA5+'KPI_VENDEUR 3'!AA5</f>
        <v>0</v>
      </c>
      <c r="AB5" s="450" t="e">
        <f>AA5/AA4</f>
        <v>#DIV/0!</v>
      </c>
      <c r="AC5" s="411">
        <f>+'KPI_VENDEUR 1'!AC5+'KPI_VENDEUR 2'!AC5+'KPI_VENDEUR 5'!AC5+'KPI_VENDEUR 4'!AC5+'KPI_VENDEUR 3'!AC5</f>
        <v>0</v>
      </c>
      <c r="AD5" s="449">
        <f>+'KPI_VENDEUR 1'!AD5+'KPI_VENDEUR 2'!AD5+'KPI_VENDEUR 5'!AD5+'KPI_VENDEUR 4'!AD5+'KPI_VENDEUR 3'!AD5</f>
        <v>0</v>
      </c>
      <c r="AE5" s="450" t="e">
        <f>AD5/AD4</f>
        <v>#DIV/0!</v>
      </c>
      <c r="AF5" s="411">
        <f>+'KPI_VENDEUR 1'!AF5+'KPI_VENDEUR 2'!AF5+'KPI_VENDEUR 5'!AF5+'KPI_VENDEUR 4'!AF5+'KPI_VENDEUR 3'!AF5</f>
        <v>0</v>
      </c>
      <c r="AG5" s="449">
        <f>+'KPI_VENDEUR 1'!AG5+'KPI_VENDEUR 2'!AG5+'KPI_VENDEUR 5'!AG5+'KPI_VENDEUR 4'!AG5+'KPI_VENDEUR 3'!AG5</f>
        <v>0</v>
      </c>
      <c r="AH5" s="450" t="e">
        <f>AG5/AG4</f>
        <v>#DIV/0!</v>
      </c>
      <c r="AI5" s="411">
        <f>+'KPI_VENDEUR 1'!AI5+'KPI_VENDEUR 2'!AI5+'KPI_VENDEUR 5'!AI5+'KPI_VENDEUR 4'!AI5+'KPI_VENDEUR 3'!AI5</f>
        <v>0</v>
      </c>
      <c r="AJ5" s="449">
        <f>+'KPI_VENDEUR 1'!AJ5+'KPI_VENDEUR 2'!AJ5+'KPI_VENDEUR 5'!AJ5+'KPI_VENDEUR 4'!AJ5+'KPI_VENDEUR 3'!AJ5</f>
        <v>0</v>
      </c>
      <c r="AK5" s="450" t="e">
        <f>AJ5/AJ4</f>
        <v>#DIV/0!</v>
      </c>
      <c r="AL5" s="411">
        <f>+'KPI_VENDEUR 1'!AL5+'KPI_VENDEUR 2'!AL5+'KPI_VENDEUR 5'!AL5+'KPI_VENDEUR 4'!AL5+'KPI_VENDEUR 3'!AL5</f>
        <v>0</v>
      </c>
      <c r="AM5" s="449">
        <f>+'KPI_VENDEUR 1'!AM5+'KPI_VENDEUR 2'!AM5+'KPI_VENDEUR 5'!AM5+'KPI_VENDEUR 4'!AM5+'KPI_VENDEUR 3'!AM5</f>
        <v>0</v>
      </c>
      <c r="AN5" s="422" t="e">
        <f>AM5/AM4</f>
        <v>#DIV/0!</v>
      </c>
    </row>
    <row r="6" spans="1:40" s="447" customFormat="1" ht="24.6" customHeight="1" x14ac:dyDescent="0.25">
      <c r="A6" s="452" t="s">
        <v>7</v>
      </c>
      <c r="B6" s="423">
        <f>+'KPI_VENDEUR 1'!B6+'KPI_VENDEUR 2'!B6+'KPI_VENDEUR 5'!B6+'KPI_VENDEUR 4'!B6+'KPI_VENDEUR 3'!B6</f>
        <v>0</v>
      </c>
      <c r="C6" s="429">
        <f>+'KPI_VENDEUR 1'!C6+'KPI_VENDEUR 2'!C6+'KPI_VENDEUR 5'!C6+'KPI_VENDEUR 4'!C6+'KPI_VENDEUR 3'!C6</f>
        <v>0</v>
      </c>
      <c r="D6" s="433" t="e">
        <f t="shared" ref="D6:D9" si="5">C6/C5</f>
        <v>#DIV/0!</v>
      </c>
      <c r="E6" s="423">
        <f>+'KPI_VENDEUR 1'!E6+'KPI_VENDEUR 2'!E6+'KPI_VENDEUR 5'!E6+'KPI_VENDEUR 4'!E6+'KPI_VENDEUR 3'!E6</f>
        <v>0</v>
      </c>
      <c r="F6" s="429">
        <f>+'KPI_VENDEUR 1'!F6+'KPI_VENDEUR 2'!F6+'KPI_VENDEUR 5'!F6+'KPI_VENDEUR 4'!F6+'KPI_VENDEUR 3'!F6</f>
        <v>0</v>
      </c>
      <c r="G6" s="433" t="e">
        <f t="shared" ref="G6:G9" si="6">F6/F5</f>
        <v>#DIV/0!</v>
      </c>
      <c r="H6" s="423">
        <f>+'KPI_VENDEUR 1'!H6+'KPI_VENDEUR 2'!H6+'KPI_VENDEUR 5'!H6+'KPI_VENDEUR 4'!H6+'KPI_VENDEUR 3'!H6</f>
        <v>0</v>
      </c>
      <c r="I6" s="429">
        <f>+'KPI_VENDEUR 1'!I6+'KPI_VENDEUR 2'!I6+'KPI_VENDEUR 5'!I6+'KPI_VENDEUR 4'!I6+'KPI_VENDEUR 3'!I6</f>
        <v>0</v>
      </c>
      <c r="J6" s="433" t="e">
        <f t="shared" ref="J6:J9" si="7">I6/I5</f>
        <v>#DIV/0!</v>
      </c>
      <c r="K6" s="423">
        <f>+'KPI_VENDEUR 1'!K6+'KPI_VENDEUR 2'!K6+'KPI_VENDEUR 5'!K6+'KPI_VENDEUR 4'!K6+'KPI_VENDEUR 3'!K6</f>
        <v>0</v>
      </c>
      <c r="L6" s="429">
        <f>+'KPI_VENDEUR 1'!L6+'KPI_VENDEUR 2'!L6+'KPI_VENDEUR 5'!L6+'KPI_VENDEUR 4'!L6+'KPI_VENDEUR 3'!L6</f>
        <v>0</v>
      </c>
      <c r="M6" s="433" t="e">
        <f t="shared" ref="M6:M9" si="8">L6/L5</f>
        <v>#DIV/0!</v>
      </c>
      <c r="N6" s="423">
        <f>+'KPI_VENDEUR 1'!N6+'KPI_VENDEUR 2'!N6+'KPI_VENDEUR 5'!N6+'KPI_VENDEUR 4'!N6+'KPI_VENDEUR 3'!N6</f>
        <v>0</v>
      </c>
      <c r="O6" s="429">
        <f>+'KPI_VENDEUR 1'!O6+'KPI_VENDEUR 2'!O6+'KPI_VENDEUR 5'!O6+'KPI_VENDEUR 4'!O6+'KPI_VENDEUR 3'!O6</f>
        <v>0</v>
      </c>
      <c r="P6" s="433" t="e">
        <f t="shared" ref="P6:P9" si="9">O6/O5</f>
        <v>#DIV/0!</v>
      </c>
      <c r="Q6" s="423">
        <f>+'KPI_VENDEUR 1'!Q6+'KPI_VENDEUR 2'!Q6+'KPI_VENDEUR 5'!Q6+'KPI_VENDEUR 4'!Q6+'KPI_VENDEUR 3'!Q6</f>
        <v>0</v>
      </c>
      <c r="R6" s="429">
        <f>+'KPI_VENDEUR 1'!R6+'KPI_VENDEUR 2'!R6+'KPI_VENDEUR 5'!R6+'KPI_VENDEUR 4'!R6+'KPI_VENDEUR 3'!R6</f>
        <v>0</v>
      </c>
      <c r="S6" s="433" t="e">
        <f t="shared" ref="S6:S9" si="10">R6/R5</f>
        <v>#DIV/0!</v>
      </c>
      <c r="T6" s="423">
        <f>+'KPI_VENDEUR 1'!T6+'KPI_VENDEUR 2'!T6+'KPI_VENDEUR 5'!T6+'KPI_VENDEUR 4'!T6+'KPI_VENDEUR 3'!T6</f>
        <v>0</v>
      </c>
      <c r="U6" s="429">
        <f>+'KPI_VENDEUR 1'!U6+'KPI_VENDEUR 2'!U6+'KPI_VENDEUR 5'!U6+'KPI_VENDEUR 4'!U6+'KPI_VENDEUR 3'!U6</f>
        <v>0</v>
      </c>
      <c r="V6" s="433" t="e">
        <f t="shared" ref="V6:V9" si="11">U6/U5</f>
        <v>#DIV/0!</v>
      </c>
      <c r="W6" s="423">
        <f>+'KPI_VENDEUR 1'!W6+'KPI_VENDEUR 2'!W6+'KPI_VENDEUR 5'!W6+'KPI_VENDEUR 4'!W6+'KPI_VENDEUR 3'!W6</f>
        <v>0</v>
      </c>
      <c r="X6" s="429">
        <f>+'KPI_VENDEUR 1'!X6+'KPI_VENDEUR 2'!X6+'KPI_VENDEUR 5'!X6+'KPI_VENDEUR 4'!X6+'KPI_VENDEUR 3'!X6</f>
        <v>0</v>
      </c>
      <c r="Y6" s="433" t="e">
        <f t="shared" ref="Y6:Y9" si="12">X6/X5</f>
        <v>#DIV/0!</v>
      </c>
      <c r="Z6" s="423">
        <f>+'KPI_VENDEUR 1'!Z6+'KPI_VENDEUR 2'!Z6+'KPI_VENDEUR 5'!Z6+'KPI_VENDEUR 4'!Z6+'KPI_VENDEUR 3'!Z6</f>
        <v>0</v>
      </c>
      <c r="AA6" s="429">
        <f>+'KPI_VENDEUR 1'!AA6+'KPI_VENDEUR 2'!AA6+'KPI_VENDEUR 5'!AA6+'KPI_VENDEUR 4'!AA6+'KPI_VENDEUR 3'!AA6</f>
        <v>0</v>
      </c>
      <c r="AB6" s="433" t="e">
        <f t="shared" ref="AB6:AB9" si="13">AA6/AA5</f>
        <v>#DIV/0!</v>
      </c>
      <c r="AC6" s="423">
        <f>+'KPI_VENDEUR 1'!AC6+'KPI_VENDEUR 2'!AC6+'KPI_VENDEUR 5'!AC6+'KPI_VENDEUR 4'!AC6+'KPI_VENDEUR 3'!AC6</f>
        <v>0</v>
      </c>
      <c r="AD6" s="429">
        <f>+'KPI_VENDEUR 1'!AD6+'KPI_VENDEUR 2'!AD6+'KPI_VENDEUR 5'!AD6+'KPI_VENDEUR 4'!AD6+'KPI_VENDEUR 3'!AD6</f>
        <v>0</v>
      </c>
      <c r="AE6" s="433" t="e">
        <f t="shared" ref="AE6:AE9" si="14">AD6/AD5</f>
        <v>#DIV/0!</v>
      </c>
      <c r="AF6" s="423">
        <f>+'KPI_VENDEUR 1'!AF6+'KPI_VENDEUR 2'!AF6+'KPI_VENDEUR 5'!AF6+'KPI_VENDEUR 4'!AF6+'KPI_VENDEUR 3'!AF6</f>
        <v>0</v>
      </c>
      <c r="AG6" s="429">
        <f>+'KPI_VENDEUR 1'!AG6+'KPI_VENDEUR 2'!AG6+'KPI_VENDEUR 5'!AG6+'KPI_VENDEUR 4'!AG6+'KPI_VENDEUR 3'!AG6</f>
        <v>0</v>
      </c>
      <c r="AH6" s="433" t="e">
        <f t="shared" ref="AH6:AH9" si="15">AG6/AG5</f>
        <v>#DIV/0!</v>
      </c>
      <c r="AI6" s="423">
        <f>+'KPI_VENDEUR 1'!AI6+'KPI_VENDEUR 2'!AI6+'KPI_VENDEUR 5'!AI6+'KPI_VENDEUR 4'!AI6+'KPI_VENDEUR 3'!AI6</f>
        <v>0</v>
      </c>
      <c r="AJ6" s="429">
        <f>+'KPI_VENDEUR 1'!AJ6+'KPI_VENDEUR 2'!AJ6+'KPI_VENDEUR 5'!AJ6+'KPI_VENDEUR 4'!AJ6+'KPI_VENDEUR 3'!AJ6</f>
        <v>0</v>
      </c>
      <c r="AK6" s="433" t="e">
        <f t="shared" ref="AK6:AK9" si="16">AJ6/AJ5</f>
        <v>#DIV/0!</v>
      </c>
      <c r="AL6" s="423">
        <f>+'KPI_VENDEUR 1'!AL6+'KPI_VENDEUR 2'!AL6+'KPI_VENDEUR 5'!AL6+'KPI_VENDEUR 4'!AL6+'KPI_VENDEUR 3'!AL6</f>
        <v>0</v>
      </c>
      <c r="AM6" s="429">
        <f>+'KPI_VENDEUR 1'!AM6+'KPI_VENDEUR 2'!AM6+'KPI_VENDEUR 5'!AM6+'KPI_VENDEUR 4'!AM6+'KPI_VENDEUR 3'!AM6</f>
        <v>0</v>
      </c>
      <c r="AN6" s="433" t="e">
        <f t="shared" ref="AN6:AN9" si="17">AM6/AM5</f>
        <v>#DIV/0!</v>
      </c>
    </row>
    <row r="7" spans="1:40" s="447" customFormat="1" ht="24.6" customHeight="1" x14ac:dyDescent="0.25">
      <c r="A7" s="452" t="s">
        <v>8</v>
      </c>
      <c r="B7" s="423">
        <f>+'KPI_VENDEUR 1'!B7+'KPI_VENDEUR 2'!B7+'KPI_VENDEUR 5'!B7+'KPI_VENDEUR 4'!B7+'KPI_VENDEUR 3'!B7</f>
        <v>0</v>
      </c>
      <c r="C7" s="429">
        <f>+'KPI_VENDEUR 1'!C7+'KPI_VENDEUR 2'!C7+'KPI_VENDEUR 5'!C7+'KPI_VENDEUR 4'!C7+'KPI_VENDEUR 3'!C7</f>
        <v>0</v>
      </c>
      <c r="D7" s="433" t="e">
        <f t="shared" si="5"/>
        <v>#DIV/0!</v>
      </c>
      <c r="E7" s="423">
        <f>+'KPI_VENDEUR 1'!E7+'KPI_VENDEUR 2'!E7+'KPI_VENDEUR 5'!E7+'KPI_VENDEUR 4'!E7+'KPI_VENDEUR 3'!E7</f>
        <v>0</v>
      </c>
      <c r="F7" s="429">
        <f>+'KPI_VENDEUR 1'!F7+'KPI_VENDEUR 2'!F7+'KPI_VENDEUR 5'!F7+'KPI_VENDEUR 4'!F7+'KPI_VENDEUR 3'!F7</f>
        <v>0</v>
      </c>
      <c r="G7" s="433" t="e">
        <f t="shared" si="6"/>
        <v>#DIV/0!</v>
      </c>
      <c r="H7" s="423">
        <f>+'KPI_VENDEUR 1'!H7+'KPI_VENDEUR 2'!H7+'KPI_VENDEUR 5'!H7+'KPI_VENDEUR 4'!H7+'KPI_VENDEUR 3'!H7</f>
        <v>0</v>
      </c>
      <c r="I7" s="429">
        <f>+'KPI_VENDEUR 1'!I7+'KPI_VENDEUR 2'!I7+'KPI_VENDEUR 5'!I7+'KPI_VENDEUR 4'!I7+'KPI_VENDEUR 3'!I7</f>
        <v>0</v>
      </c>
      <c r="J7" s="433" t="e">
        <f t="shared" si="7"/>
        <v>#DIV/0!</v>
      </c>
      <c r="K7" s="423">
        <f>+'KPI_VENDEUR 1'!K7+'KPI_VENDEUR 2'!K7+'KPI_VENDEUR 5'!K7+'KPI_VENDEUR 4'!K7+'KPI_VENDEUR 3'!K7</f>
        <v>0</v>
      </c>
      <c r="L7" s="429">
        <f>+'KPI_VENDEUR 1'!L7+'KPI_VENDEUR 2'!L7+'KPI_VENDEUR 5'!L7+'KPI_VENDEUR 4'!L7+'KPI_VENDEUR 3'!L7</f>
        <v>0</v>
      </c>
      <c r="M7" s="433" t="e">
        <f t="shared" si="8"/>
        <v>#DIV/0!</v>
      </c>
      <c r="N7" s="423">
        <f>+'KPI_VENDEUR 1'!N7+'KPI_VENDEUR 2'!N7+'KPI_VENDEUR 5'!N7+'KPI_VENDEUR 4'!N7+'KPI_VENDEUR 3'!N7</f>
        <v>0</v>
      </c>
      <c r="O7" s="429">
        <f>+'KPI_VENDEUR 1'!O7+'KPI_VENDEUR 2'!O7+'KPI_VENDEUR 5'!O7+'KPI_VENDEUR 4'!O7+'KPI_VENDEUR 3'!O7</f>
        <v>0</v>
      </c>
      <c r="P7" s="433" t="e">
        <f t="shared" si="9"/>
        <v>#DIV/0!</v>
      </c>
      <c r="Q7" s="423">
        <f>+'KPI_VENDEUR 1'!Q7+'KPI_VENDEUR 2'!Q7+'KPI_VENDEUR 5'!Q7+'KPI_VENDEUR 4'!Q7+'KPI_VENDEUR 3'!Q7</f>
        <v>0</v>
      </c>
      <c r="R7" s="429">
        <f>+'KPI_VENDEUR 1'!R7+'KPI_VENDEUR 2'!R7+'KPI_VENDEUR 5'!R7+'KPI_VENDEUR 4'!R7+'KPI_VENDEUR 3'!R7</f>
        <v>0</v>
      </c>
      <c r="S7" s="433" t="e">
        <f t="shared" si="10"/>
        <v>#DIV/0!</v>
      </c>
      <c r="T7" s="423">
        <f>+'KPI_VENDEUR 1'!T7+'KPI_VENDEUR 2'!T7+'KPI_VENDEUR 5'!T7+'KPI_VENDEUR 4'!T7+'KPI_VENDEUR 3'!T7</f>
        <v>0</v>
      </c>
      <c r="U7" s="429">
        <f>+'KPI_VENDEUR 1'!U7+'KPI_VENDEUR 2'!U7+'KPI_VENDEUR 5'!U7+'KPI_VENDEUR 4'!U7+'KPI_VENDEUR 3'!U7</f>
        <v>0</v>
      </c>
      <c r="V7" s="433" t="e">
        <f t="shared" si="11"/>
        <v>#DIV/0!</v>
      </c>
      <c r="W7" s="423">
        <f>+'KPI_VENDEUR 1'!W7+'KPI_VENDEUR 2'!W7+'KPI_VENDEUR 5'!W7+'KPI_VENDEUR 4'!W7+'KPI_VENDEUR 3'!W7</f>
        <v>0</v>
      </c>
      <c r="X7" s="429">
        <f>+'KPI_VENDEUR 1'!X7+'KPI_VENDEUR 2'!X7+'KPI_VENDEUR 5'!X7+'KPI_VENDEUR 4'!X7+'KPI_VENDEUR 3'!X7</f>
        <v>0</v>
      </c>
      <c r="Y7" s="433" t="e">
        <f t="shared" si="12"/>
        <v>#DIV/0!</v>
      </c>
      <c r="Z7" s="423">
        <f>+'KPI_VENDEUR 1'!Z7+'KPI_VENDEUR 2'!Z7+'KPI_VENDEUR 5'!Z7+'KPI_VENDEUR 4'!Z7+'KPI_VENDEUR 3'!Z7</f>
        <v>0</v>
      </c>
      <c r="AA7" s="429">
        <f>+'KPI_VENDEUR 1'!AA7+'KPI_VENDEUR 2'!AA7+'KPI_VENDEUR 5'!AA7+'KPI_VENDEUR 4'!AA7+'KPI_VENDEUR 3'!AA7</f>
        <v>0</v>
      </c>
      <c r="AB7" s="433" t="e">
        <f t="shared" si="13"/>
        <v>#DIV/0!</v>
      </c>
      <c r="AC7" s="423">
        <f>+'KPI_VENDEUR 1'!AC7+'KPI_VENDEUR 2'!AC7+'KPI_VENDEUR 5'!AC7+'KPI_VENDEUR 4'!AC7+'KPI_VENDEUR 3'!AC7</f>
        <v>0</v>
      </c>
      <c r="AD7" s="429">
        <f>+'KPI_VENDEUR 1'!AD7+'KPI_VENDEUR 2'!AD7+'KPI_VENDEUR 5'!AD7+'KPI_VENDEUR 4'!AD7+'KPI_VENDEUR 3'!AD7</f>
        <v>0</v>
      </c>
      <c r="AE7" s="433" t="e">
        <f t="shared" si="14"/>
        <v>#DIV/0!</v>
      </c>
      <c r="AF7" s="423">
        <f>+'KPI_VENDEUR 1'!AF7+'KPI_VENDEUR 2'!AF7+'KPI_VENDEUR 5'!AF7+'KPI_VENDEUR 4'!AF7+'KPI_VENDEUR 3'!AF7</f>
        <v>0</v>
      </c>
      <c r="AG7" s="429">
        <f>+'KPI_VENDEUR 1'!AG7+'KPI_VENDEUR 2'!AG7+'KPI_VENDEUR 5'!AG7+'KPI_VENDEUR 4'!AG7+'KPI_VENDEUR 3'!AG7</f>
        <v>0</v>
      </c>
      <c r="AH7" s="433" t="e">
        <f t="shared" si="15"/>
        <v>#DIV/0!</v>
      </c>
      <c r="AI7" s="423">
        <f>+'KPI_VENDEUR 1'!AI7+'KPI_VENDEUR 2'!AI7+'KPI_VENDEUR 5'!AI7+'KPI_VENDEUR 4'!AI7+'KPI_VENDEUR 3'!AI7</f>
        <v>0</v>
      </c>
      <c r="AJ7" s="429">
        <f>+'KPI_VENDEUR 1'!AJ7+'KPI_VENDEUR 2'!AJ7+'KPI_VENDEUR 5'!AJ7+'KPI_VENDEUR 4'!AJ7+'KPI_VENDEUR 3'!AJ7</f>
        <v>0</v>
      </c>
      <c r="AK7" s="433" t="e">
        <f t="shared" si="16"/>
        <v>#DIV/0!</v>
      </c>
      <c r="AL7" s="423">
        <f>+'KPI_VENDEUR 1'!AL7+'KPI_VENDEUR 2'!AL7+'KPI_VENDEUR 5'!AL7+'KPI_VENDEUR 4'!AL7+'KPI_VENDEUR 3'!AL7</f>
        <v>0</v>
      </c>
      <c r="AM7" s="429">
        <f>+'KPI_VENDEUR 1'!AM7+'KPI_VENDEUR 2'!AM7+'KPI_VENDEUR 5'!AM7+'KPI_VENDEUR 4'!AM7+'KPI_VENDEUR 3'!AM7</f>
        <v>0</v>
      </c>
      <c r="AN7" s="433" t="e">
        <f t="shared" si="17"/>
        <v>#DIV/0!</v>
      </c>
    </row>
    <row r="8" spans="1:40" s="447" customFormat="1" ht="24.6" customHeight="1" x14ac:dyDescent="0.25">
      <c r="A8" s="452" t="s">
        <v>9</v>
      </c>
      <c r="B8" s="423">
        <f>+'KPI_VENDEUR 1'!B8+'KPI_VENDEUR 2'!B8+'KPI_VENDEUR 5'!B8+'KPI_VENDEUR 4'!B8+'KPI_VENDEUR 3'!B8</f>
        <v>0</v>
      </c>
      <c r="C8" s="429">
        <f>+'KPI_VENDEUR 1'!C8+'KPI_VENDEUR 2'!C8+'KPI_VENDEUR 5'!C8+'KPI_VENDEUR 4'!C8+'KPI_VENDEUR 3'!C8</f>
        <v>0</v>
      </c>
      <c r="D8" s="433" t="e">
        <f t="shared" si="5"/>
        <v>#DIV/0!</v>
      </c>
      <c r="E8" s="423">
        <f>+'KPI_VENDEUR 1'!E8+'KPI_VENDEUR 2'!E8+'KPI_VENDEUR 5'!E8+'KPI_VENDEUR 4'!E8+'KPI_VENDEUR 3'!E8</f>
        <v>0</v>
      </c>
      <c r="F8" s="429">
        <f>+'KPI_VENDEUR 1'!F8+'KPI_VENDEUR 2'!F8+'KPI_VENDEUR 5'!F8+'KPI_VENDEUR 4'!F8+'KPI_VENDEUR 3'!F8</f>
        <v>0</v>
      </c>
      <c r="G8" s="433" t="e">
        <f t="shared" si="6"/>
        <v>#DIV/0!</v>
      </c>
      <c r="H8" s="423">
        <f>+'KPI_VENDEUR 1'!H8+'KPI_VENDEUR 2'!H8+'KPI_VENDEUR 5'!H8+'KPI_VENDEUR 4'!H8+'KPI_VENDEUR 3'!H8</f>
        <v>0</v>
      </c>
      <c r="I8" s="429">
        <f>+'KPI_VENDEUR 1'!I8+'KPI_VENDEUR 2'!I8+'KPI_VENDEUR 5'!I8+'KPI_VENDEUR 4'!I8+'KPI_VENDEUR 3'!I8</f>
        <v>0</v>
      </c>
      <c r="J8" s="433" t="e">
        <f t="shared" si="7"/>
        <v>#DIV/0!</v>
      </c>
      <c r="K8" s="423">
        <f>+'KPI_VENDEUR 1'!K8+'KPI_VENDEUR 2'!K8+'KPI_VENDEUR 5'!K8+'KPI_VENDEUR 4'!K8+'KPI_VENDEUR 3'!K8</f>
        <v>0</v>
      </c>
      <c r="L8" s="429">
        <f>+'KPI_VENDEUR 1'!L8+'KPI_VENDEUR 2'!L8+'KPI_VENDEUR 5'!L8+'KPI_VENDEUR 4'!L8+'KPI_VENDEUR 3'!L8</f>
        <v>0</v>
      </c>
      <c r="M8" s="433" t="e">
        <f t="shared" si="8"/>
        <v>#DIV/0!</v>
      </c>
      <c r="N8" s="423">
        <f>+'KPI_VENDEUR 1'!N8+'KPI_VENDEUR 2'!N8+'KPI_VENDEUR 5'!N8+'KPI_VENDEUR 4'!N8+'KPI_VENDEUR 3'!N8</f>
        <v>0</v>
      </c>
      <c r="O8" s="429">
        <f>+'KPI_VENDEUR 1'!O8+'KPI_VENDEUR 2'!O8+'KPI_VENDEUR 5'!O8+'KPI_VENDEUR 4'!O8+'KPI_VENDEUR 3'!O8</f>
        <v>0</v>
      </c>
      <c r="P8" s="433" t="e">
        <f t="shared" si="9"/>
        <v>#DIV/0!</v>
      </c>
      <c r="Q8" s="423">
        <f>+'KPI_VENDEUR 1'!Q8+'KPI_VENDEUR 2'!Q8+'KPI_VENDEUR 5'!Q8+'KPI_VENDEUR 4'!Q8+'KPI_VENDEUR 3'!Q8</f>
        <v>0</v>
      </c>
      <c r="R8" s="429">
        <f>+'KPI_VENDEUR 1'!R8+'KPI_VENDEUR 2'!R8+'KPI_VENDEUR 5'!R8+'KPI_VENDEUR 4'!R8+'KPI_VENDEUR 3'!R8</f>
        <v>0</v>
      </c>
      <c r="S8" s="433" t="e">
        <f t="shared" si="10"/>
        <v>#DIV/0!</v>
      </c>
      <c r="T8" s="423">
        <f>+'KPI_VENDEUR 1'!T8+'KPI_VENDEUR 2'!T8+'KPI_VENDEUR 5'!T8+'KPI_VENDEUR 4'!T8+'KPI_VENDEUR 3'!T8</f>
        <v>0</v>
      </c>
      <c r="U8" s="429">
        <f>+'KPI_VENDEUR 1'!U8+'KPI_VENDEUR 2'!U8+'KPI_VENDEUR 5'!U8+'KPI_VENDEUR 4'!U8+'KPI_VENDEUR 3'!U8</f>
        <v>0</v>
      </c>
      <c r="V8" s="433" t="e">
        <f t="shared" si="11"/>
        <v>#DIV/0!</v>
      </c>
      <c r="W8" s="423">
        <f>+'KPI_VENDEUR 1'!W8+'KPI_VENDEUR 2'!W8+'KPI_VENDEUR 5'!W8+'KPI_VENDEUR 4'!W8+'KPI_VENDEUR 3'!W8</f>
        <v>0</v>
      </c>
      <c r="X8" s="429">
        <f>+'KPI_VENDEUR 1'!X8+'KPI_VENDEUR 2'!X8+'KPI_VENDEUR 5'!X8+'KPI_VENDEUR 4'!X8+'KPI_VENDEUR 3'!X8</f>
        <v>0</v>
      </c>
      <c r="Y8" s="433" t="e">
        <f t="shared" si="12"/>
        <v>#DIV/0!</v>
      </c>
      <c r="Z8" s="423">
        <f>+'KPI_VENDEUR 1'!Z8+'KPI_VENDEUR 2'!Z8+'KPI_VENDEUR 5'!Z8+'KPI_VENDEUR 4'!Z8+'KPI_VENDEUR 3'!Z8</f>
        <v>0</v>
      </c>
      <c r="AA8" s="429">
        <f>+'KPI_VENDEUR 1'!AA8+'KPI_VENDEUR 2'!AA8+'KPI_VENDEUR 5'!AA8+'KPI_VENDEUR 4'!AA8+'KPI_VENDEUR 3'!AA8</f>
        <v>0</v>
      </c>
      <c r="AB8" s="433" t="e">
        <f t="shared" si="13"/>
        <v>#DIV/0!</v>
      </c>
      <c r="AC8" s="423">
        <f>+'KPI_VENDEUR 1'!AC8+'KPI_VENDEUR 2'!AC8+'KPI_VENDEUR 5'!AC8+'KPI_VENDEUR 4'!AC8+'KPI_VENDEUR 3'!AC8</f>
        <v>0</v>
      </c>
      <c r="AD8" s="429">
        <f>+'KPI_VENDEUR 1'!AD8+'KPI_VENDEUR 2'!AD8+'KPI_VENDEUR 5'!AD8+'KPI_VENDEUR 4'!AD8+'KPI_VENDEUR 3'!AD8</f>
        <v>0</v>
      </c>
      <c r="AE8" s="433" t="e">
        <f t="shared" si="14"/>
        <v>#DIV/0!</v>
      </c>
      <c r="AF8" s="423">
        <f>+'KPI_VENDEUR 1'!AF8+'KPI_VENDEUR 2'!AF8+'KPI_VENDEUR 5'!AF8+'KPI_VENDEUR 4'!AF8+'KPI_VENDEUR 3'!AF8</f>
        <v>0</v>
      </c>
      <c r="AG8" s="429">
        <f>+'KPI_VENDEUR 1'!AG8+'KPI_VENDEUR 2'!AG8+'KPI_VENDEUR 5'!AG8+'KPI_VENDEUR 4'!AG8+'KPI_VENDEUR 3'!AG8</f>
        <v>0</v>
      </c>
      <c r="AH8" s="433" t="e">
        <f t="shared" si="15"/>
        <v>#DIV/0!</v>
      </c>
      <c r="AI8" s="423">
        <f>+'KPI_VENDEUR 1'!AI8+'KPI_VENDEUR 2'!AI8+'KPI_VENDEUR 5'!AI8+'KPI_VENDEUR 4'!AI8+'KPI_VENDEUR 3'!AI8</f>
        <v>0</v>
      </c>
      <c r="AJ8" s="429">
        <f>+'KPI_VENDEUR 1'!AJ8+'KPI_VENDEUR 2'!AJ8+'KPI_VENDEUR 5'!AJ8+'KPI_VENDEUR 4'!AJ8+'KPI_VENDEUR 3'!AJ8</f>
        <v>0</v>
      </c>
      <c r="AK8" s="433" t="e">
        <f t="shared" si="16"/>
        <v>#DIV/0!</v>
      </c>
      <c r="AL8" s="423">
        <f>+'KPI_VENDEUR 1'!AL8+'KPI_VENDEUR 2'!AL8+'KPI_VENDEUR 5'!AL8+'KPI_VENDEUR 4'!AL8+'KPI_VENDEUR 3'!AL8</f>
        <v>0</v>
      </c>
      <c r="AM8" s="429">
        <f>+'KPI_VENDEUR 1'!AM8+'KPI_VENDEUR 2'!AM8+'KPI_VENDEUR 5'!AM8+'KPI_VENDEUR 4'!AM8+'KPI_VENDEUR 3'!AM8</f>
        <v>0</v>
      </c>
      <c r="AN8" s="433" t="e">
        <f t="shared" si="17"/>
        <v>#DIV/0!</v>
      </c>
    </row>
    <row r="9" spans="1:40" s="447" customFormat="1" ht="24.6" customHeight="1" x14ac:dyDescent="0.25">
      <c r="A9" s="452" t="s">
        <v>10</v>
      </c>
      <c r="B9" s="423">
        <f>+'KPI_VENDEUR 1'!B9+'KPI_VENDEUR 2'!B9+'KPI_VENDEUR 5'!B9+'KPI_VENDEUR 4'!B9+'KPI_VENDEUR 3'!B9</f>
        <v>0</v>
      </c>
      <c r="C9" s="429">
        <f>+'KPI_VENDEUR 1'!C9+'KPI_VENDEUR 2'!C9+'KPI_VENDEUR 5'!C9+'KPI_VENDEUR 4'!C9+'KPI_VENDEUR 3'!C9</f>
        <v>0</v>
      </c>
      <c r="D9" s="433" t="e">
        <f t="shared" si="5"/>
        <v>#DIV/0!</v>
      </c>
      <c r="E9" s="423">
        <f>+'KPI_VENDEUR 1'!E9+'KPI_VENDEUR 2'!E9+'KPI_VENDEUR 5'!E9+'KPI_VENDEUR 4'!E9+'KPI_VENDEUR 3'!E9</f>
        <v>0</v>
      </c>
      <c r="F9" s="429">
        <f>+'KPI_VENDEUR 1'!F9+'KPI_VENDEUR 2'!F9+'KPI_VENDEUR 5'!F9+'KPI_VENDEUR 4'!F9+'KPI_VENDEUR 3'!F9</f>
        <v>0</v>
      </c>
      <c r="G9" s="433" t="e">
        <f t="shared" si="6"/>
        <v>#DIV/0!</v>
      </c>
      <c r="H9" s="423">
        <f>+'KPI_VENDEUR 1'!H9+'KPI_VENDEUR 2'!H9+'KPI_VENDEUR 5'!H9+'KPI_VENDEUR 4'!H9+'KPI_VENDEUR 3'!H9</f>
        <v>0</v>
      </c>
      <c r="I9" s="429">
        <f>+'KPI_VENDEUR 1'!I9+'KPI_VENDEUR 2'!I9+'KPI_VENDEUR 5'!I9+'KPI_VENDEUR 4'!I9+'KPI_VENDEUR 3'!I9</f>
        <v>0</v>
      </c>
      <c r="J9" s="433" t="e">
        <f t="shared" si="7"/>
        <v>#DIV/0!</v>
      </c>
      <c r="K9" s="423">
        <f>+'KPI_VENDEUR 1'!K9+'KPI_VENDEUR 2'!K9+'KPI_VENDEUR 5'!K9+'KPI_VENDEUR 4'!K9+'KPI_VENDEUR 3'!K9</f>
        <v>0</v>
      </c>
      <c r="L9" s="429">
        <f>+'KPI_VENDEUR 1'!L9+'KPI_VENDEUR 2'!L9+'KPI_VENDEUR 5'!L9+'KPI_VENDEUR 4'!L9+'KPI_VENDEUR 3'!L9</f>
        <v>0</v>
      </c>
      <c r="M9" s="433" t="e">
        <f t="shared" si="8"/>
        <v>#DIV/0!</v>
      </c>
      <c r="N9" s="423">
        <f>+'KPI_VENDEUR 1'!N9+'KPI_VENDEUR 2'!N9+'KPI_VENDEUR 5'!N9+'KPI_VENDEUR 4'!N9+'KPI_VENDEUR 3'!N9</f>
        <v>0</v>
      </c>
      <c r="O9" s="429">
        <f>+'KPI_VENDEUR 1'!O9+'KPI_VENDEUR 2'!O9+'KPI_VENDEUR 5'!O9+'KPI_VENDEUR 4'!O9+'KPI_VENDEUR 3'!O9</f>
        <v>0</v>
      </c>
      <c r="P9" s="433" t="e">
        <f t="shared" si="9"/>
        <v>#DIV/0!</v>
      </c>
      <c r="Q9" s="423">
        <f>+'KPI_VENDEUR 1'!Q9+'KPI_VENDEUR 2'!Q9+'KPI_VENDEUR 5'!Q9+'KPI_VENDEUR 4'!Q9+'KPI_VENDEUR 3'!Q9</f>
        <v>0</v>
      </c>
      <c r="R9" s="429">
        <f>+'KPI_VENDEUR 1'!R9+'KPI_VENDEUR 2'!R9+'KPI_VENDEUR 5'!R9+'KPI_VENDEUR 4'!R9+'KPI_VENDEUR 3'!R9</f>
        <v>0</v>
      </c>
      <c r="S9" s="433" t="e">
        <f t="shared" si="10"/>
        <v>#DIV/0!</v>
      </c>
      <c r="T9" s="423">
        <f>+'KPI_VENDEUR 1'!T9+'KPI_VENDEUR 2'!T9+'KPI_VENDEUR 5'!T9+'KPI_VENDEUR 4'!T9+'KPI_VENDEUR 3'!T9</f>
        <v>0</v>
      </c>
      <c r="U9" s="429">
        <f>+'KPI_VENDEUR 1'!U9+'KPI_VENDEUR 2'!U9+'KPI_VENDEUR 5'!U9+'KPI_VENDEUR 4'!U9+'KPI_VENDEUR 3'!U9</f>
        <v>0</v>
      </c>
      <c r="V9" s="433" t="e">
        <f t="shared" si="11"/>
        <v>#DIV/0!</v>
      </c>
      <c r="W9" s="423">
        <f>+'KPI_VENDEUR 1'!W9+'KPI_VENDEUR 2'!W9+'KPI_VENDEUR 5'!W9+'KPI_VENDEUR 4'!W9+'KPI_VENDEUR 3'!W9</f>
        <v>0</v>
      </c>
      <c r="X9" s="429">
        <f>+'KPI_VENDEUR 1'!X9+'KPI_VENDEUR 2'!X9+'KPI_VENDEUR 5'!X9+'KPI_VENDEUR 4'!X9+'KPI_VENDEUR 3'!X9</f>
        <v>0</v>
      </c>
      <c r="Y9" s="433" t="e">
        <f t="shared" si="12"/>
        <v>#DIV/0!</v>
      </c>
      <c r="Z9" s="423">
        <f>+'KPI_VENDEUR 1'!Z9+'KPI_VENDEUR 2'!Z9+'KPI_VENDEUR 5'!Z9+'KPI_VENDEUR 4'!Z9+'KPI_VENDEUR 3'!Z9</f>
        <v>0</v>
      </c>
      <c r="AA9" s="429">
        <f>+'KPI_VENDEUR 1'!AA9+'KPI_VENDEUR 2'!AA9+'KPI_VENDEUR 5'!AA9+'KPI_VENDEUR 4'!AA9+'KPI_VENDEUR 3'!AA9</f>
        <v>0</v>
      </c>
      <c r="AB9" s="433" t="e">
        <f t="shared" si="13"/>
        <v>#DIV/0!</v>
      </c>
      <c r="AC9" s="423">
        <f>+'KPI_VENDEUR 1'!AC9+'KPI_VENDEUR 2'!AC9+'KPI_VENDEUR 5'!AC9+'KPI_VENDEUR 4'!AC9+'KPI_VENDEUR 3'!AC9</f>
        <v>0</v>
      </c>
      <c r="AD9" s="429">
        <f>+'KPI_VENDEUR 1'!AD9+'KPI_VENDEUR 2'!AD9+'KPI_VENDEUR 5'!AD9+'KPI_VENDEUR 4'!AD9+'KPI_VENDEUR 3'!AD9</f>
        <v>0</v>
      </c>
      <c r="AE9" s="433" t="e">
        <f t="shared" si="14"/>
        <v>#DIV/0!</v>
      </c>
      <c r="AF9" s="423">
        <f>+'KPI_VENDEUR 1'!AF9+'KPI_VENDEUR 2'!AF9+'KPI_VENDEUR 5'!AF9+'KPI_VENDEUR 4'!AF9+'KPI_VENDEUR 3'!AF9</f>
        <v>0</v>
      </c>
      <c r="AG9" s="429">
        <f>+'KPI_VENDEUR 1'!AG9+'KPI_VENDEUR 2'!AG9+'KPI_VENDEUR 5'!AG9+'KPI_VENDEUR 4'!AG9+'KPI_VENDEUR 3'!AG9</f>
        <v>0</v>
      </c>
      <c r="AH9" s="433" t="e">
        <f t="shared" si="15"/>
        <v>#DIV/0!</v>
      </c>
      <c r="AI9" s="423">
        <f>+'KPI_VENDEUR 1'!AI9+'KPI_VENDEUR 2'!AI9+'KPI_VENDEUR 5'!AI9+'KPI_VENDEUR 4'!AI9+'KPI_VENDEUR 3'!AI9</f>
        <v>0</v>
      </c>
      <c r="AJ9" s="429">
        <f>+'KPI_VENDEUR 1'!AJ9+'KPI_VENDEUR 2'!AJ9+'KPI_VENDEUR 5'!AJ9+'KPI_VENDEUR 4'!AJ9+'KPI_VENDEUR 3'!AJ9</f>
        <v>0</v>
      </c>
      <c r="AK9" s="433" t="e">
        <f t="shared" si="16"/>
        <v>#DIV/0!</v>
      </c>
      <c r="AL9" s="423">
        <f>+'KPI_VENDEUR 1'!AL9+'KPI_VENDEUR 2'!AL9+'KPI_VENDEUR 5'!AL9+'KPI_VENDEUR 4'!AL9+'KPI_VENDEUR 3'!AL9</f>
        <v>0</v>
      </c>
      <c r="AM9" s="429">
        <f>+'KPI_VENDEUR 1'!AM9+'KPI_VENDEUR 2'!AM9+'KPI_VENDEUR 5'!AM9+'KPI_VENDEUR 4'!AM9+'KPI_VENDEUR 3'!AM9</f>
        <v>0</v>
      </c>
      <c r="AN9" s="433" t="e">
        <f t="shared" si="17"/>
        <v>#DIV/0!</v>
      </c>
    </row>
    <row r="10" spans="1:40" s="447" customFormat="1" ht="24.6" customHeight="1" x14ac:dyDescent="0.25">
      <c r="A10" s="453" t="s">
        <v>11</v>
      </c>
      <c r="B10" s="424">
        <f>+'KPI_VENDEUR 1'!B10+'KPI_VENDEUR 2'!B10+'KPI_VENDEUR 5'!B10+'KPI_VENDEUR 4'!B10+'KPI_VENDEUR 3'!B10</f>
        <v>0</v>
      </c>
      <c r="C10" s="430">
        <f>+'KPI_VENDEUR 1'!C10+'KPI_VENDEUR 2'!C10+'KPI_VENDEUR 5'!C10+'KPI_VENDEUR 4'!C10+'KPI_VENDEUR 3'!C10</f>
        <v>0</v>
      </c>
      <c r="D10" s="425" t="e">
        <f>C10/B10</f>
        <v>#DIV/0!</v>
      </c>
      <c r="E10" s="424">
        <f>+'KPI_VENDEUR 1'!E10+'KPI_VENDEUR 2'!E10+'KPI_VENDEUR 5'!E10+'KPI_VENDEUR 4'!E10+'KPI_VENDEUR 3'!E10</f>
        <v>0</v>
      </c>
      <c r="F10" s="430">
        <f>+'KPI_VENDEUR 1'!F10+'KPI_VENDEUR 2'!F10+'KPI_VENDEUR 5'!F10+'KPI_VENDEUR 4'!F10+'KPI_VENDEUR 3'!F10</f>
        <v>0</v>
      </c>
      <c r="G10" s="425" t="e">
        <f>F10/E10</f>
        <v>#DIV/0!</v>
      </c>
      <c r="H10" s="424">
        <f>+'KPI_VENDEUR 1'!H10+'KPI_VENDEUR 2'!H10+'KPI_VENDEUR 5'!H10+'KPI_VENDEUR 4'!H10+'KPI_VENDEUR 3'!H10</f>
        <v>0</v>
      </c>
      <c r="I10" s="430">
        <f>+'KPI_VENDEUR 1'!I10+'KPI_VENDEUR 2'!I10+'KPI_VENDEUR 5'!I10+'KPI_VENDEUR 4'!I10+'KPI_VENDEUR 3'!I10</f>
        <v>0</v>
      </c>
      <c r="J10" s="425" t="e">
        <f>I10/H10</f>
        <v>#DIV/0!</v>
      </c>
      <c r="K10" s="424">
        <f>+'KPI_VENDEUR 1'!K10+'KPI_VENDEUR 2'!K10+'KPI_VENDEUR 5'!K10+'KPI_VENDEUR 4'!K10+'KPI_VENDEUR 3'!K10</f>
        <v>0</v>
      </c>
      <c r="L10" s="430">
        <f>+'KPI_VENDEUR 1'!L10+'KPI_VENDEUR 2'!L10+'KPI_VENDEUR 5'!L10+'KPI_VENDEUR 4'!L10+'KPI_VENDEUR 3'!L10</f>
        <v>0</v>
      </c>
      <c r="M10" s="425" t="e">
        <f>L10/K10</f>
        <v>#DIV/0!</v>
      </c>
      <c r="N10" s="424">
        <f>+'KPI_VENDEUR 1'!N10+'KPI_VENDEUR 2'!N10+'KPI_VENDEUR 5'!N10+'KPI_VENDEUR 4'!N10+'KPI_VENDEUR 3'!N10</f>
        <v>0</v>
      </c>
      <c r="O10" s="430">
        <f>+'KPI_VENDEUR 1'!O10+'KPI_VENDEUR 2'!O10+'KPI_VENDEUR 5'!O10+'KPI_VENDEUR 4'!O10+'KPI_VENDEUR 3'!O10</f>
        <v>0</v>
      </c>
      <c r="P10" s="425" t="e">
        <f>O10/N10</f>
        <v>#DIV/0!</v>
      </c>
      <c r="Q10" s="424">
        <f>+'KPI_VENDEUR 1'!Q10+'KPI_VENDEUR 2'!Q10+'KPI_VENDEUR 5'!Q10+'KPI_VENDEUR 4'!Q10+'KPI_VENDEUR 3'!Q10</f>
        <v>0</v>
      </c>
      <c r="R10" s="430">
        <f>+'KPI_VENDEUR 1'!R10+'KPI_VENDEUR 2'!R10+'KPI_VENDEUR 5'!R10+'KPI_VENDEUR 4'!R10+'KPI_VENDEUR 3'!R10</f>
        <v>0</v>
      </c>
      <c r="S10" s="425" t="e">
        <f>R10/Q10</f>
        <v>#DIV/0!</v>
      </c>
      <c r="T10" s="424">
        <f>+'KPI_VENDEUR 1'!T10+'KPI_VENDEUR 2'!T10+'KPI_VENDEUR 5'!T10+'KPI_VENDEUR 4'!T10+'KPI_VENDEUR 3'!T10</f>
        <v>0</v>
      </c>
      <c r="U10" s="430">
        <f>+'KPI_VENDEUR 1'!U10+'KPI_VENDEUR 2'!U10+'KPI_VENDEUR 5'!U10+'KPI_VENDEUR 4'!U10+'KPI_VENDEUR 3'!U10</f>
        <v>0</v>
      </c>
      <c r="V10" s="425" t="e">
        <f>U10/T10</f>
        <v>#DIV/0!</v>
      </c>
      <c r="W10" s="424">
        <f>+'KPI_VENDEUR 1'!W10+'KPI_VENDEUR 2'!W10+'KPI_VENDEUR 5'!W10+'KPI_VENDEUR 4'!W10+'KPI_VENDEUR 3'!W10</f>
        <v>0</v>
      </c>
      <c r="X10" s="430">
        <f>+'KPI_VENDEUR 1'!X10+'KPI_VENDEUR 2'!X10+'KPI_VENDEUR 5'!X10+'KPI_VENDEUR 4'!X10+'KPI_VENDEUR 3'!X10</f>
        <v>0</v>
      </c>
      <c r="Y10" s="425" t="e">
        <f>X10/W10</f>
        <v>#DIV/0!</v>
      </c>
      <c r="Z10" s="424">
        <f>+'KPI_VENDEUR 1'!Z10+'KPI_VENDEUR 2'!Z10+'KPI_VENDEUR 5'!Z10+'KPI_VENDEUR 4'!Z10+'KPI_VENDEUR 3'!Z10</f>
        <v>0</v>
      </c>
      <c r="AA10" s="430">
        <f>+'KPI_VENDEUR 1'!AA10+'KPI_VENDEUR 2'!AA10+'KPI_VENDEUR 5'!AA10+'KPI_VENDEUR 4'!AA10+'KPI_VENDEUR 3'!AA10</f>
        <v>0</v>
      </c>
      <c r="AB10" s="425" t="e">
        <f>AA10/Z10</f>
        <v>#DIV/0!</v>
      </c>
      <c r="AC10" s="424">
        <f>+'KPI_VENDEUR 1'!AC10+'KPI_VENDEUR 2'!AC10+'KPI_VENDEUR 5'!AC10+'KPI_VENDEUR 4'!AC10+'KPI_VENDEUR 3'!AC10</f>
        <v>0</v>
      </c>
      <c r="AD10" s="430">
        <f>+'KPI_VENDEUR 1'!AD10+'KPI_VENDEUR 2'!AD10+'KPI_VENDEUR 5'!AD10+'KPI_VENDEUR 4'!AD10+'KPI_VENDEUR 3'!AD10</f>
        <v>0</v>
      </c>
      <c r="AE10" s="425" t="e">
        <f>AD10/AC10</f>
        <v>#DIV/0!</v>
      </c>
      <c r="AF10" s="424">
        <f>+'KPI_VENDEUR 1'!AF10+'KPI_VENDEUR 2'!AF10+'KPI_VENDEUR 5'!AF10+'KPI_VENDEUR 4'!AF10+'KPI_VENDEUR 3'!AF10</f>
        <v>0</v>
      </c>
      <c r="AG10" s="430">
        <f>+'KPI_VENDEUR 1'!AG10+'KPI_VENDEUR 2'!AG10+'KPI_VENDEUR 5'!AG10+'KPI_VENDEUR 4'!AG10+'KPI_VENDEUR 3'!AG10</f>
        <v>0</v>
      </c>
      <c r="AH10" s="425" t="e">
        <f>AG10/AF10</f>
        <v>#DIV/0!</v>
      </c>
      <c r="AI10" s="424">
        <f>+'KPI_VENDEUR 1'!AI10+'KPI_VENDEUR 2'!AI10+'KPI_VENDEUR 5'!AI10+'KPI_VENDEUR 4'!AI10+'KPI_VENDEUR 3'!AI10</f>
        <v>0</v>
      </c>
      <c r="AJ10" s="430">
        <f>+'KPI_VENDEUR 1'!AJ10+'KPI_VENDEUR 2'!AJ10+'KPI_VENDEUR 5'!AJ10+'KPI_VENDEUR 4'!AJ10+'KPI_VENDEUR 3'!AJ10</f>
        <v>0</v>
      </c>
      <c r="AK10" s="425" t="e">
        <f>AJ10/AI10</f>
        <v>#DIV/0!</v>
      </c>
      <c r="AL10" s="424">
        <f>+'KPI_VENDEUR 1'!AL10+'KPI_VENDEUR 2'!AL10+'KPI_VENDEUR 5'!AL10+'KPI_VENDEUR 4'!AL10+'KPI_VENDEUR 3'!AL10</f>
        <v>0</v>
      </c>
      <c r="AM10" s="430">
        <f>+'KPI_VENDEUR 1'!AM10+'KPI_VENDEUR 2'!AM10+'KPI_VENDEUR 5'!AM10+'KPI_VENDEUR 4'!AM10+'KPI_VENDEUR 3'!AM10</f>
        <v>0</v>
      </c>
      <c r="AN10" s="425" t="e">
        <f>AM10/AL10</f>
        <v>#DIV/0!</v>
      </c>
    </row>
    <row r="11" spans="1:40" s="451" customFormat="1" ht="24.6" customHeight="1" x14ac:dyDescent="0.25">
      <c r="A11" s="454" t="s">
        <v>12</v>
      </c>
      <c r="B11" s="431">
        <f>+'KPI_VENDEUR 1'!B11+'KPI_VENDEUR 2'!B11+'KPI_VENDEUR 5'!B11+'KPI_VENDEUR 4'!B11+'KPI_VENDEUR 3'!B11</f>
        <v>0</v>
      </c>
      <c r="C11" s="432">
        <f>+'KPI_VENDEUR 1'!C11+'KPI_VENDEUR 2'!C11+'KPI_VENDEUR 5'!C11+'KPI_VENDEUR 4'!C11+'KPI_VENDEUR 3'!C11</f>
        <v>0</v>
      </c>
      <c r="D11" s="426" t="e">
        <f>C11/B11</f>
        <v>#DIV/0!</v>
      </c>
      <c r="E11" s="431">
        <f>+'KPI_VENDEUR 1'!E11+'KPI_VENDEUR 2'!E11+'KPI_VENDEUR 5'!E11+'KPI_VENDEUR 4'!E11+'KPI_VENDEUR 3'!E11</f>
        <v>0</v>
      </c>
      <c r="F11" s="432">
        <f>+'KPI_VENDEUR 1'!F11+'KPI_VENDEUR 2'!F11+'KPI_VENDEUR 5'!F11+'KPI_VENDEUR 4'!F11+'KPI_VENDEUR 3'!F11</f>
        <v>0</v>
      </c>
      <c r="G11" s="426" t="e">
        <f>F11/E11</f>
        <v>#DIV/0!</v>
      </c>
      <c r="H11" s="431">
        <f>+'KPI_VENDEUR 1'!H11+'KPI_VENDEUR 2'!H11+'KPI_VENDEUR 5'!H11+'KPI_VENDEUR 4'!H11+'KPI_VENDEUR 3'!H11</f>
        <v>0</v>
      </c>
      <c r="I11" s="432">
        <f>+'KPI_VENDEUR 1'!I11+'KPI_VENDEUR 2'!I11+'KPI_VENDEUR 5'!I11+'KPI_VENDEUR 4'!I11+'KPI_VENDEUR 3'!I11</f>
        <v>0</v>
      </c>
      <c r="J11" s="426" t="e">
        <f>I11/H11</f>
        <v>#DIV/0!</v>
      </c>
      <c r="K11" s="431">
        <f>+'KPI_VENDEUR 1'!K11+'KPI_VENDEUR 2'!K11+'KPI_VENDEUR 5'!K11+'KPI_VENDEUR 4'!K11+'KPI_VENDEUR 3'!K11</f>
        <v>0</v>
      </c>
      <c r="L11" s="432">
        <f>+'KPI_VENDEUR 1'!L11+'KPI_VENDEUR 2'!L11+'KPI_VENDEUR 5'!L11+'KPI_VENDEUR 4'!L11+'KPI_VENDEUR 3'!L11</f>
        <v>0</v>
      </c>
      <c r="M11" s="426" t="e">
        <f>L11/K11</f>
        <v>#DIV/0!</v>
      </c>
      <c r="N11" s="431">
        <f>+'KPI_VENDEUR 1'!N11+'KPI_VENDEUR 2'!N11+'KPI_VENDEUR 5'!N11+'KPI_VENDEUR 4'!N11+'KPI_VENDEUR 3'!N11</f>
        <v>0</v>
      </c>
      <c r="O11" s="432">
        <f>+'KPI_VENDEUR 1'!O11+'KPI_VENDEUR 2'!O11+'KPI_VENDEUR 5'!O11+'KPI_VENDEUR 4'!O11+'KPI_VENDEUR 3'!O11</f>
        <v>0</v>
      </c>
      <c r="P11" s="426" t="e">
        <f>O11/N11</f>
        <v>#DIV/0!</v>
      </c>
      <c r="Q11" s="431">
        <f>+'KPI_VENDEUR 1'!Q11+'KPI_VENDEUR 2'!Q11+'KPI_VENDEUR 5'!Q11+'KPI_VENDEUR 4'!Q11+'KPI_VENDEUR 3'!Q11</f>
        <v>0</v>
      </c>
      <c r="R11" s="432">
        <f>+'KPI_VENDEUR 1'!R11+'KPI_VENDEUR 2'!R11+'KPI_VENDEUR 5'!R11+'KPI_VENDEUR 4'!R11+'KPI_VENDEUR 3'!R11</f>
        <v>0</v>
      </c>
      <c r="S11" s="426" t="e">
        <f>R11/Q11</f>
        <v>#DIV/0!</v>
      </c>
      <c r="T11" s="431">
        <f>+'KPI_VENDEUR 1'!T11+'KPI_VENDEUR 2'!T11+'KPI_VENDEUR 5'!T11+'KPI_VENDEUR 4'!T11+'KPI_VENDEUR 3'!T11</f>
        <v>0</v>
      </c>
      <c r="U11" s="432">
        <f>+'KPI_VENDEUR 1'!U11+'KPI_VENDEUR 2'!U11+'KPI_VENDEUR 5'!U11+'KPI_VENDEUR 4'!U11+'KPI_VENDEUR 3'!U11</f>
        <v>0</v>
      </c>
      <c r="V11" s="426" t="e">
        <f>U11/T11</f>
        <v>#DIV/0!</v>
      </c>
      <c r="W11" s="431">
        <f>+'KPI_VENDEUR 1'!W11+'KPI_VENDEUR 2'!W11+'KPI_VENDEUR 5'!W11+'KPI_VENDEUR 4'!W11+'KPI_VENDEUR 3'!W11</f>
        <v>0</v>
      </c>
      <c r="X11" s="432">
        <f>+'KPI_VENDEUR 1'!X11+'KPI_VENDEUR 2'!X11+'KPI_VENDEUR 5'!X11+'KPI_VENDEUR 4'!X11+'KPI_VENDEUR 3'!X11</f>
        <v>0</v>
      </c>
      <c r="Y11" s="426" t="e">
        <f>X11/W11</f>
        <v>#DIV/0!</v>
      </c>
      <c r="Z11" s="431">
        <f>+'KPI_VENDEUR 1'!Z11+'KPI_VENDEUR 2'!Z11+'KPI_VENDEUR 5'!Z11+'KPI_VENDEUR 4'!Z11+'KPI_VENDEUR 3'!Z11</f>
        <v>0</v>
      </c>
      <c r="AA11" s="432">
        <f>+'KPI_VENDEUR 1'!AA11+'KPI_VENDEUR 2'!AA11+'KPI_VENDEUR 5'!AA11+'KPI_VENDEUR 4'!AA11+'KPI_VENDEUR 3'!AA11</f>
        <v>0</v>
      </c>
      <c r="AB11" s="426" t="e">
        <f>AA11/Z11</f>
        <v>#DIV/0!</v>
      </c>
      <c r="AC11" s="431">
        <f>+'KPI_VENDEUR 1'!AC11+'KPI_VENDEUR 2'!AC11+'KPI_VENDEUR 5'!AC11+'KPI_VENDEUR 4'!AC11+'KPI_VENDEUR 3'!AC11</f>
        <v>0</v>
      </c>
      <c r="AD11" s="432">
        <f>+'KPI_VENDEUR 1'!AD11+'KPI_VENDEUR 2'!AD11+'KPI_VENDEUR 5'!AD11+'KPI_VENDEUR 4'!AD11+'KPI_VENDEUR 3'!AD11</f>
        <v>0</v>
      </c>
      <c r="AE11" s="426" t="e">
        <f>AD11/AC11</f>
        <v>#DIV/0!</v>
      </c>
      <c r="AF11" s="431">
        <f>+'KPI_VENDEUR 1'!AF11+'KPI_VENDEUR 2'!AF11+'KPI_VENDEUR 5'!AF11+'KPI_VENDEUR 4'!AF11+'KPI_VENDEUR 3'!AF11</f>
        <v>0</v>
      </c>
      <c r="AG11" s="432">
        <f>+'KPI_VENDEUR 1'!AG11+'KPI_VENDEUR 2'!AG11+'KPI_VENDEUR 5'!AG11+'KPI_VENDEUR 4'!AG11+'KPI_VENDEUR 3'!AG11</f>
        <v>0</v>
      </c>
      <c r="AH11" s="426" t="e">
        <f>AG11/AF11</f>
        <v>#DIV/0!</v>
      </c>
      <c r="AI11" s="431">
        <f>+'KPI_VENDEUR 1'!AI11+'KPI_VENDEUR 2'!AI11+'KPI_VENDEUR 5'!AI11+'KPI_VENDEUR 4'!AI11+'KPI_VENDEUR 3'!AI11</f>
        <v>0</v>
      </c>
      <c r="AJ11" s="432">
        <f>+'KPI_VENDEUR 1'!AJ11+'KPI_VENDEUR 2'!AJ11+'KPI_VENDEUR 5'!AJ11+'KPI_VENDEUR 4'!AJ11+'KPI_VENDEUR 3'!AJ11</f>
        <v>0</v>
      </c>
      <c r="AK11" s="426" t="e">
        <f>AJ11/AI11</f>
        <v>#DIV/0!</v>
      </c>
      <c r="AL11" s="431">
        <f>+'KPI_VENDEUR 1'!AL11+'KPI_VENDEUR 2'!AL11+'KPI_VENDEUR 5'!AL11+'KPI_VENDEUR 4'!AL11+'KPI_VENDEUR 3'!AL11</f>
        <v>0</v>
      </c>
      <c r="AM11" s="432">
        <f>+'KPI_VENDEUR 1'!AM11+'KPI_VENDEUR 2'!AM11+'KPI_VENDEUR 5'!AM11+'KPI_VENDEUR 4'!AM11+'KPI_VENDEUR 3'!AM11</f>
        <v>0</v>
      </c>
      <c r="AN11" s="426" t="e">
        <f>AM11/AL11</f>
        <v>#DIV/0!</v>
      </c>
    </row>
    <row r="12" spans="1:40" s="447" customFormat="1" ht="24.6" customHeight="1" x14ac:dyDescent="0.25">
      <c r="A12" s="455" t="s">
        <v>13</v>
      </c>
      <c r="B12" s="416"/>
      <c r="C12" s="409" t="e">
        <f>+'KPI_VENDEUR 1'!C12</f>
        <v>#DIV/0!</v>
      </c>
      <c r="D12" s="416"/>
      <c r="E12" s="416"/>
      <c r="F12" s="409">
        <f>+'KPI_VENDEUR 1'!F12</f>
        <v>0</v>
      </c>
      <c r="G12" s="416"/>
      <c r="H12" s="416"/>
      <c r="I12" s="409">
        <f>+'KPI_VENDEUR 1'!I12</f>
        <v>0</v>
      </c>
      <c r="J12" s="416"/>
      <c r="K12" s="416"/>
      <c r="L12" s="409">
        <f>+'KPI_VENDEUR 1'!L12</f>
        <v>0</v>
      </c>
      <c r="M12" s="416"/>
      <c r="N12" s="416"/>
      <c r="O12" s="409">
        <f>+'KPI_VENDEUR 1'!O12</f>
        <v>0</v>
      </c>
      <c r="P12" s="416"/>
      <c r="Q12" s="416"/>
      <c r="R12" s="409">
        <f>+'KPI_VENDEUR 1'!R12</f>
        <v>0</v>
      </c>
      <c r="S12" s="416"/>
      <c r="T12" s="416"/>
      <c r="U12" s="409">
        <f>+'KPI_VENDEUR 1'!U12</f>
        <v>0</v>
      </c>
      <c r="V12" s="416"/>
      <c r="W12" s="416"/>
      <c r="X12" s="409">
        <f>+'KPI_VENDEUR 1'!X12</f>
        <v>0</v>
      </c>
      <c r="Y12" s="416"/>
      <c r="Z12" s="416"/>
      <c r="AA12" s="409">
        <f>+'KPI_VENDEUR 1'!AA12</f>
        <v>0</v>
      </c>
      <c r="AB12" s="416"/>
      <c r="AC12" s="416"/>
      <c r="AD12" s="409">
        <f>+'KPI_VENDEUR 1'!AD12</f>
        <v>0</v>
      </c>
      <c r="AE12" s="416"/>
      <c r="AF12" s="416"/>
      <c r="AG12" s="409">
        <f>+'KPI_VENDEUR 1'!AG12</f>
        <v>0</v>
      </c>
      <c r="AH12" s="416"/>
      <c r="AI12" s="416"/>
      <c r="AJ12" s="409">
        <f>+'KPI_VENDEUR 1'!AJ12</f>
        <v>0</v>
      </c>
      <c r="AK12" s="416"/>
      <c r="AL12" s="416"/>
      <c r="AM12" s="409">
        <f>+'KPI_VENDEUR 1'!AM12</f>
        <v>0</v>
      </c>
      <c r="AN12" s="416"/>
    </row>
    <row r="13" spans="1:40" s="447" customFormat="1" ht="24.6" customHeight="1" thickBot="1" x14ac:dyDescent="0.3">
      <c r="A13" s="456" t="s">
        <v>14</v>
      </c>
      <c r="B13" s="417"/>
      <c r="C13" s="410" t="e">
        <f>+'KPI_VENDEUR 1'!C13</f>
        <v>#DIV/0!</v>
      </c>
      <c r="D13" s="417"/>
      <c r="E13" s="417"/>
      <c r="F13" s="410">
        <f>+'KPI_VENDEUR 1'!F13</f>
        <v>0</v>
      </c>
      <c r="G13" s="417"/>
      <c r="H13" s="417"/>
      <c r="I13" s="410">
        <f>+'KPI_VENDEUR 1'!I13</f>
        <v>0</v>
      </c>
      <c r="J13" s="417"/>
      <c r="K13" s="417"/>
      <c r="L13" s="410">
        <f>+'KPI_VENDEUR 1'!L13</f>
        <v>0</v>
      </c>
      <c r="M13" s="417"/>
      <c r="N13" s="417"/>
      <c r="O13" s="410">
        <f>+'KPI_VENDEUR 1'!O13</f>
        <v>0</v>
      </c>
      <c r="P13" s="417"/>
      <c r="Q13" s="417"/>
      <c r="R13" s="410">
        <f>+'KPI_VENDEUR 1'!R13</f>
        <v>0</v>
      </c>
      <c r="S13" s="417"/>
      <c r="T13" s="417"/>
      <c r="U13" s="410">
        <f>+'KPI_VENDEUR 1'!U13</f>
        <v>0</v>
      </c>
      <c r="V13" s="417"/>
      <c r="W13" s="417"/>
      <c r="X13" s="410">
        <f>+'KPI_VENDEUR 1'!X13</f>
        <v>0</v>
      </c>
      <c r="Y13" s="417"/>
      <c r="Z13" s="417"/>
      <c r="AA13" s="410">
        <f>+'KPI_VENDEUR 1'!AA13</f>
        <v>0</v>
      </c>
      <c r="AB13" s="417"/>
      <c r="AC13" s="417"/>
      <c r="AD13" s="410">
        <f>+'KPI_VENDEUR 1'!AD13</f>
        <v>0</v>
      </c>
      <c r="AE13" s="417"/>
      <c r="AF13" s="417"/>
      <c r="AG13" s="410">
        <f>+'KPI_VENDEUR 1'!AG13</f>
        <v>0</v>
      </c>
      <c r="AH13" s="417"/>
      <c r="AI13" s="417"/>
      <c r="AJ13" s="410">
        <f>+'KPI_VENDEUR 1'!AJ13</f>
        <v>0</v>
      </c>
      <c r="AK13" s="417"/>
      <c r="AL13" s="417"/>
      <c r="AM13" s="410">
        <f>+'KPI_VENDEUR 1'!AM13</f>
        <v>0</v>
      </c>
      <c r="AN13" s="417"/>
    </row>
    <row r="14" spans="1:40" x14ac:dyDescent="0.2">
      <c r="K14" s="193"/>
      <c r="L14" s="193"/>
      <c r="M14" s="195"/>
    </row>
    <row r="15" spans="1:40" x14ac:dyDescent="0.2">
      <c r="B15" s="230"/>
      <c r="E15" s="316">
        <f>+E11</f>
        <v>0</v>
      </c>
      <c r="F15" s="316">
        <f>+F11</f>
        <v>0</v>
      </c>
      <c r="G15" s="426" t="e">
        <f>F15/E15</f>
        <v>#DIV/0!</v>
      </c>
      <c r="H15" s="316">
        <f>+H11+E15</f>
        <v>0</v>
      </c>
      <c r="I15" s="316">
        <f>+I11+F15</f>
        <v>0</v>
      </c>
      <c r="J15" s="426" t="e">
        <f t="shared" ref="J15" si="18">I15/H15</f>
        <v>#DIV/0!</v>
      </c>
      <c r="K15" s="316">
        <f t="shared" ref="K15:L15" si="19">+K11+H15</f>
        <v>0</v>
      </c>
      <c r="L15" s="316">
        <f t="shared" si="19"/>
        <v>0</v>
      </c>
      <c r="M15" s="426" t="e">
        <f t="shared" ref="M15" si="20">L15/K15</f>
        <v>#DIV/0!</v>
      </c>
      <c r="N15" s="316">
        <f t="shared" ref="N15:O15" si="21">+N11+K15</f>
        <v>0</v>
      </c>
      <c r="O15" s="316">
        <f t="shared" si="21"/>
        <v>0</v>
      </c>
      <c r="P15" s="426" t="e">
        <f t="shared" ref="P15" si="22">O15/N15</f>
        <v>#DIV/0!</v>
      </c>
      <c r="Q15" s="316">
        <f t="shared" ref="Q15:R15" si="23">+Q11+N15</f>
        <v>0</v>
      </c>
      <c r="R15" s="316">
        <f t="shared" si="23"/>
        <v>0</v>
      </c>
      <c r="S15" s="426" t="e">
        <f t="shared" ref="S15" si="24">R15/Q15</f>
        <v>#DIV/0!</v>
      </c>
      <c r="T15" s="316">
        <f t="shared" ref="T15:U15" si="25">+T11+Q15</f>
        <v>0</v>
      </c>
      <c r="U15" s="316">
        <f t="shared" si="25"/>
        <v>0</v>
      </c>
      <c r="V15" s="426" t="e">
        <f t="shared" ref="V15" si="26">U15/T15</f>
        <v>#DIV/0!</v>
      </c>
      <c r="W15" s="316">
        <f t="shared" ref="W15:X15" si="27">+W11+T15</f>
        <v>0</v>
      </c>
      <c r="X15" s="316">
        <f t="shared" si="27"/>
        <v>0</v>
      </c>
      <c r="Y15" s="426" t="e">
        <f t="shared" ref="Y15" si="28">X15/W15</f>
        <v>#DIV/0!</v>
      </c>
      <c r="Z15" s="316">
        <f t="shared" ref="Z15:AA15" si="29">+Z11+W15</f>
        <v>0</v>
      </c>
      <c r="AA15" s="316">
        <f t="shared" si="29"/>
        <v>0</v>
      </c>
      <c r="AB15" s="426" t="e">
        <f t="shared" ref="AB15" si="30">AA15/Z15</f>
        <v>#DIV/0!</v>
      </c>
      <c r="AC15" s="316">
        <f t="shared" ref="AC15:AD15" si="31">+AC11+Z15</f>
        <v>0</v>
      </c>
      <c r="AD15" s="316">
        <f t="shared" si="31"/>
        <v>0</v>
      </c>
      <c r="AE15" s="426" t="e">
        <f t="shared" ref="AE15" si="32">AD15/AC15</f>
        <v>#DIV/0!</v>
      </c>
      <c r="AF15" s="316">
        <f t="shared" ref="AF15:AG15" si="33">+AF11+AC15</f>
        <v>0</v>
      </c>
      <c r="AG15" s="316">
        <f t="shared" si="33"/>
        <v>0</v>
      </c>
      <c r="AH15" s="426" t="e">
        <f t="shared" ref="AH15" si="34">AG15/AF15</f>
        <v>#DIV/0!</v>
      </c>
      <c r="AI15" s="316">
        <f t="shared" ref="AI15" si="35">+AI11+AF15</f>
        <v>0</v>
      </c>
      <c r="AJ15" s="316">
        <f>+AJ11+AG15</f>
        <v>0</v>
      </c>
      <c r="AK15" s="426" t="e">
        <f t="shared" ref="AK15" si="36">AJ15/AI15</f>
        <v>#DIV/0!</v>
      </c>
    </row>
    <row r="16" spans="1:40" x14ac:dyDescent="0.2">
      <c r="A16" s="315"/>
      <c r="B16" s="231"/>
      <c r="C16" s="201"/>
      <c r="E16" s="206"/>
      <c r="F16" s="206"/>
      <c r="H16" s="206"/>
      <c r="I16" s="206"/>
      <c r="L16" s="207"/>
      <c r="M16" s="437"/>
      <c r="N16" s="207"/>
      <c r="O16" s="207"/>
      <c r="P16" s="437"/>
      <c r="Q16" s="207"/>
      <c r="R16" s="207"/>
      <c r="S16" s="437"/>
      <c r="T16" s="198"/>
      <c r="U16" s="198"/>
      <c r="V16" s="436"/>
      <c r="AC16" s="193"/>
      <c r="AD16" s="193"/>
      <c r="AE16" s="435"/>
      <c r="AF16" s="193"/>
      <c r="AG16" s="193"/>
      <c r="AH16" s="435"/>
      <c r="AI16" s="193"/>
      <c r="AJ16" s="193"/>
      <c r="AK16" s="435"/>
      <c r="AL16" s="193"/>
      <c r="AM16" s="193"/>
      <c r="AN16" s="435"/>
    </row>
    <row r="17" spans="1:40" x14ac:dyDescent="0.2">
      <c r="A17" s="202"/>
      <c r="B17" s="193"/>
      <c r="C17" s="206"/>
      <c r="D17" s="440"/>
      <c r="L17" s="207"/>
      <c r="M17" s="437"/>
      <c r="N17" s="207"/>
      <c r="O17" s="207"/>
      <c r="P17" s="437"/>
      <c r="Q17" s="207"/>
      <c r="R17" s="207"/>
      <c r="S17" s="435"/>
      <c r="AI17" s="193"/>
      <c r="AJ17" s="193"/>
      <c r="AK17" s="435"/>
      <c r="AL17" s="193"/>
      <c r="AM17" s="193"/>
      <c r="AN17" s="435"/>
    </row>
    <row r="18" spans="1:40" x14ac:dyDescent="0.2">
      <c r="B18" s="193"/>
      <c r="H18" s="206"/>
      <c r="I18" s="206"/>
      <c r="L18" s="208"/>
      <c r="M18" s="439"/>
      <c r="N18" s="208"/>
      <c r="O18" s="208"/>
      <c r="P18" s="439"/>
      <c r="Q18" s="208"/>
      <c r="R18" s="208"/>
      <c r="AI18" s="193"/>
      <c r="AJ18" s="193"/>
      <c r="AK18" s="435"/>
      <c r="AL18" s="193"/>
      <c r="AM18" s="193"/>
      <c r="AN18" s="435"/>
    </row>
    <row r="19" spans="1:40" x14ac:dyDescent="0.2">
      <c r="B19" s="193"/>
      <c r="C19" s="193"/>
      <c r="D19" s="441"/>
      <c r="L19" s="207"/>
      <c r="M19" s="437"/>
      <c r="N19" s="207"/>
      <c r="O19" s="207"/>
      <c r="P19" s="437"/>
      <c r="Q19" s="207"/>
      <c r="R19" s="207"/>
    </row>
    <row r="20" spans="1:40" x14ac:dyDescent="0.2">
      <c r="A20" s="202"/>
      <c r="B20" s="193"/>
      <c r="C20" s="207"/>
      <c r="D20" s="437"/>
      <c r="AI20" s="193"/>
      <c r="AJ20" s="193"/>
      <c r="AK20" s="435"/>
      <c r="AL20" s="193"/>
      <c r="AM20" s="193"/>
      <c r="AN20" s="435"/>
    </row>
    <row r="21" spans="1:40" x14ac:dyDescent="0.2">
      <c r="A21" s="315"/>
      <c r="B21" s="193"/>
      <c r="C21" s="207"/>
      <c r="D21" s="437"/>
      <c r="E21" s="315"/>
      <c r="Q21" s="193"/>
      <c r="R21" s="193"/>
      <c r="S21" s="438"/>
    </row>
    <row r="24" spans="1:40" x14ac:dyDescent="0.2">
      <c r="E24" s="316"/>
      <c r="F24" s="316"/>
      <c r="I24" s="1" t="s">
        <v>15</v>
      </c>
    </row>
    <row r="25" spans="1:40" x14ac:dyDescent="0.2">
      <c r="E25" s="316"/>
      <c r="F25" s="316"/>
    </row>
    <row r="26" spans="1:40" x14ac:dyDescent="0.2">
      <c r="E26" s="316"/>
      <c r="F26" s="316"/>
    </row>
  </sheetData>
  <sheetProtection formatCells="0" formatColumns="0" formatRows="0" insertColumns="0" insertRows="0" insertHyperlinks="0" deleteColumns="0" deleteRows="0" sort="0" autoFilter="0" pivotTables="0"/>
  <mergeCells count="14">
    <mergeCell ref="AI1:AK1"/>
    <mergeCell ref="AL1:AN1"/>
    <mergeCell ref="Q1:S1"/>
    <mergeCell ref="T1:V1"/>
    <mergeCell ref="W1:Y1"/>
    <mergeCell ref="Z1:AB1"/>
    <mergeCell ref="AC1:AE1"/>
    <mergeCell ref="AF1:AH1"/>
    <mergeCell ref="N1:P1"/>
    <mergeCell ref="A1:A2"/>
    <mergeCell ref="B1:D1"/>
    <mergeCell ref="E1:G1"/>
    <mergeCell ref="H1:J1"/>
    <mergeCell ref="K1:M1"/>
  </mergeCells>
  <conditionalFormatting sqref="D3">
    <cfRule type="dataBar" priority="23">
      <dataBar>
        <cfvo type="min"/>
        <cfvo type="percent" val="100"/>
        <color rgb="FFFF555A"/>
      </dataBar>
      <extLst>
        <ext xmlns:x14="http://schemas.microsoft.com/office/spreadsheetml/2009/9/main" uri="{B025F937-C7B1-47D3-B67F-A62EFF666E3E}">
          <x14:id>{214440E4-324E-432B-B496-2571B3EBD5E8}</x14:id>
        </ext>
      </extLst>
    </cfRule>
  </conditionalFormatting>
  <conditionalFormatting sqref="D3:D5 D10:D11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{E6BEEBF4-EAF2-49B6-A17D-7B33F4314994}</x14:id>
        </ext>
      </extLst>
    </cfRule>
  </conditionalFormatting>
  <conditionalFormatting sqref="G3:G5">
    <cfRule type="dataBar" priority="1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{9F5DA916-722B-49E2-9D27-6D5160493B50}</x14:id>
        </ext>
      </extLst>
    </cfRule>
  </conditionalFormatting>
  <conditionalFormatting sqref="G10:G11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{84C03F1F-03B5-4D88-9187-4857656D054C}</x14:id>
        </ext>
      </extLst>
    </cfRule>
  </conditionalFormatting>
  <conditionalFormatting sqref="G1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{C1AFD230-E75B-48C4-BB85-8113696283A7}</x14:id>
        </ext>
      </extLst>
    </cfRule>
  </conditionalFormatting>
  <conditionalFormatting sqref="J3:J5">
    <cfRule type="dataBar" priority="1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{F30C8DDF-288B-4A88-9A98-FFE36C78165C}</x14:id>
        </ext>
      </extLst>
    </cfRule>
  </conditionalFormatting>
  <conditionalFormatting sqref="J10:J1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{DC644DDF-0D88-4106-A17F-9EEC16E6E99E}</x14:id>
        </ext>
      </extLst>
    </cfRule>
  </conditionalFormatting>
  <conditionalFormatting sqref="J15 M15 P15 S15 V15 Y15 AB15 AE15 AH15 AK1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{F76A8E1B-F1C6-48B4-957F-9ABFE638087C}</x14:id>
        </ext>
      </extLst>
    </cfRule>
  </conditionalFormatting>
  <conditionalFormatting sqref="M3:M5">
    <cfRule type="dataBar" priority="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{5DD966A3-5DF4-4715-85FF-1671F78F99B7}</x14:id>
        </ext>
      </extLst>
    </cfRule>
  </conditionalFormatting>
  <conditionalFormatting sqref="M10:M1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{DB9DCBE0-F31B-43A8-94DF-4F146FFE3B05}</x14:id>
        </ext>
      </extLst>
    </cfRule>
  </conditionalFormatting>
  <conditionalFormatting sqref="M14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{38328EDC-9B53-4169-9608-1E9738C816BC}</x14:id>
        </ext>
      </extLst>
    </cfRule>
  </conditionalFormatting>
  <conditionalFormatting sqref="P3:P5">
    <cfRule type="dataBar" priority="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{937F8651-CC2D-472B-B0D5-8CD06C031CFA}</x14:id>
        </ext>
      </extLst>
    </cfRule>
  </conditionalFormatting>
  <conditionalFormatting sqref="P10:P11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{697F8DD5-26E7-4CC1-A4A5-B1C1CFFCC726}</x14:id>
        </ext>
      </extLst>
    </cfRule>
  </conditionalFormatting>
  <conditionalFormatting sqref="S3:S5 V3:V5 Y3:Y4">
    <cfRule type="dataBar" priority="58">
      <dataBar>
        <cfvo type="min"/>
        <cfvo type="percent" val="100"/>
        <color rgb="FF63C384"/>
      </dataBar>
      <extLst>
        <ext xmlns:x14="http://schemas.microsoft.com/office/spreadsheetml/2009/9/main" uri="{B025F937-C7B1-47D3-B67F-A62EFF666E3E}">
          <x14:id>{8ED7F83F-65A8-4056-B449-8419635F6196}</x14:id>
        </ext>
      </extLst>
    </cfRule>
  </conditionalFormatting>
  <conditionalFormatting sqref="S10:S1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{7322A07F-FC63-4F73-B191-5A9B80FE2A1D}</x14:id>
        </ext>
      </extLst>
    </cfRule>
  </conditionalFormatting>
  <conditionalFormatting sqref="V10:V11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{7D75FA11-6581-4EBB-B6C2-D0601C7F8017}</x14:id>
        </ext>
      </extLst>
    </cfRule>
  </conditionalFormatting>
  <conditionalFormatting sqref="Y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{8FDA4F9C-782E-4710-BD16-0D4640CC3958}</x14:id>
        </ext>
      </extLst>
    </cfRule>
  </conditionalFormatting>
  <conditionalFormatting sqref="Y10:Y11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{7976AE25-3AD2-4988-A6AE-F8FD84421A38}</x14:id>
        </ext>
      </extLst>
    </cfRule>
  </conditionalFormatting>
  <conditionalFormatting sqref="AB3:AB4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{4699FFBA-0C8A-45C8-92A7-84A8A04A6FFD}</x14:id>
        </ext>
      </extLst>
    </cfRule>
  </conditionalFormatting>
  <conditionalFormatting sqref="AB5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{F6289B78-0175-4635-BE8B-30DBDC0D88C1}</x14:id>
        </ext>
      </extLst>
    </cfRule>
  </conditionalFormatting>
  <conditionalFormatting sqref="AB10:AB1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{5ADBE3FB-C6E3-4199-9F4F-55EDA74EB9A9}</x14:id>
        </ext>
      </extLst>
    </cfRule>
  </conditionalFormatting>
  <conditionalFormatting sqref="AE3:AE4">
    <cfRule type="dataBar" priority="1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{B67C82AD-31CE-45FD-B4A0-93B2424576AE}</x14:id>
        </ext>
      </extLst>
    </cfRule>
  </conditionalFormatting>
  <conditionalFormatting sqref="AE5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{DF267A60-C734-4E9D-BAAB-D5A14A03543E}</x14:id>
        </ext>
      </extLst>
    </cfRule>
  </conditionalFormatting>
  <conditionalFormatting sqref="AE10:AE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{C1471FE9-4945-41A5-919D-653C4170E101}</x14:id>
        </ext>
      </extLst>
    </cfRule>
  </conditionalFormatting>
  <conditionalFormatting sqref="AH3:AH4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{A9A996FC-5B82-47E7-9D39-ACE861378771}</x14:id>
        </ext>
      </extLst>
    </cfRule>
  </conditionalFormatting>
  <conditionalFormatting sqref="AH5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{FF38F255-2925-4CA4-8CA7-70ED1962C886}</x14:id>
        </ext>
      </extLst>
    </cfRule>
  </conditionalFormatting>
  <conditionalFormatting sqref="AH10:AH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{9596D3BD-E709-4501-924F-4CC7FF9A3246}</x14:id>
        </ext>
      </extLst>
    </cfRule>
  </conditionalFormatting>
  <conditionalFormatting sqref="AK3:AK4"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{69CE9D65-E12A-49E2-B8A3-CB3032BC5B9E}</x14:id>
        </ext>
      </extLst>
    </cfRule>
  </conditionalFormatting>
  <conditionalFormatting sqref="AK5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{100F41AD-5795-4EE2-86A4-E9EDFA4DA342}</x14:id>
        </ext>
      </extLst>
    </cfRule>
  </conditionalFormatting>
  <conditionalFormatting sqref="AK10:AK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{FEDB9C4F-48B2-4860-9683-5E9779AE34A3}</x14:id>
        </ext>
      </extLst>
    </cfRule>
  </conditionalFormatting>
  <conditionalFormatting sqref="AN3:AN4">
    <cfRule type="dataBar" priority="1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{8B9CD25F-252F-4B3C-8F0C-055650F55FB7}</x14:id>
        </ext>
      </extLst>
    </cfRule>
  </conditionalFormatting>
  <conditionalFormatting sqref="AN5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{8B500317-A800-4527-B98D-7895551361E7}</x14:id>
        </ext>
      </extLst>
    </cfRule>
  </conditionalFormatting>
  <conditionalFormatting sqref="AN10:AN1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{C5FE45AB-8A28-42C5-A94E-C51335003573}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scale="28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4440E4-324E-432B-B496-2571B3EBD5E8}">
            <x14:dataBar minLength="0" maxLength="100" border="1" negativeBarBorderColorSameAsPositive="0">
              <x14:cfvo type="autoMin"/>
              <x14:cfvo type="percent">
                <xm:f>100</xm:f>
              </x14:cfvo>
              <x14:borderColor rgb="FFFF555A"/>
              <x14:negativeFillColor rgb="FFFF0000"/>
              <x14:negativeBorderColor rgb="FFFF0000"/>
              <x14:axisColor rgb="FF000000"/>
            </x14:dataBar>
          </x14:cfRule>
          <xm:sqref>D3</xm:sqref>
        </x14:conditionalFormatting>
        <x14:conditionalFormatting xmlns:xm="http://schemas.microsoft.com/office/excel/2006/main">
          <x14:cfRule type="dataBar" id="{E6BEEBF4-EAF2-49B6-A17D-7B33F43149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D3:D5 D10:D11</xm:sqref>
        </x14:conditionalFormatting>
        <x14:conditionalFormatting xmlns:xm="http://schemas.microsoft.com/office/excel/2006/main">
          <x14:cfRule type="dataBar" id="{9F5DA916-722B-49E2-9D27-6D5160493B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G3:G5</xm:sqref>
        </x14:conditionalFormatting>
        <x14:conditionalFormatting xmlns:xm="http://schemas.microsoft.com/office/excel/2006/main">
          <x14:cfRule type="dataBar" id="{84C03F1F-03B5-4D88-9187-4857656D05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G10:G11</xm:sqref>
        </x14:conditionalFormatting>
        <x14:conditionalFormatting xmlns:xm="http://schemas.microsoft.com/office/excel/2006/main">
          <x14:cfRule type="dataBar" id="{C1AFD230-E75B-48C4-BB85-8113696283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G15</xm:sqref>
        </x14:conditionalFormatting>
        <x14:conditionalFormatting xmlns:xm="http://schemas.microsoft.com/office/excel/2006/main">
          <x14:cfRule type="dataBar" id="{F30C8DDF-288B-4A88-9A98-FFE36C7816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J3:J5</xm:sqref>
        </x14:conditionalFormatting>
        <x14:conditionalFormatting xmlns:xm="http://schemas.microsoft.com/office/excel/2006/main">
          <x14:cfRule type="dataBar" id="{DC644DDF-0D88-4106-A17F-9EEC16E6E9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J10:J11</xm:sqref>
        </x14:conditionalFormatting>
        <x14:conditionalFormatting xmlns:xm="http://schemas.microsoft.com/office/excel/2006/main">
          <x14:cfRule type="dataBar" id="{F76A8E1B-F1C6-48B4-957F-9ABFE63808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J15 M15 P15 S15 V15 Y15 AB15 AE15 AH15 AK15</xm:sqref>
        </x14:conditionalFormatting>
        <x14:conditionalFormatting xmlns:xm="http://schemas.microsoft.com/office/excel/2006/main">
          <x14:cfRule type="dataBar" id="{5DD966A3-5DF4-4715-85FF-1671F78F99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M3:M5</xm:sqref>
        </x14:conditionalFormatting>
        <x14:conditionalFormatting xmlns:xm="http://schemas.microsoft.com/office/excel/2006/main">
          <x14:cfRule type="dataBar" id="{DB9DCBE0-F31B-43A8-94DF-4F146FFE3B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M10:M11</xm:sqref>
        </x14:conditionalFormatting>
        <x14:conditionalFormatting xmlns:xm="http://schemas.microsoft.com/office/excel/2006/main">
          <x14:cfRule type="dataBar" id="{38328EDC-9B53-4169-9608-1E9738C816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937F8651-CC2D-472B-B0D5-8CD06C031C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P3:P5</xm:sqref>
        </x14:conditionalFormatting>
        <x14:conditionalFormatting xmlns:xm="http://schemas.microsoft.com/office/excel/2006/main">
          <x14:cfRule type="dataBar" id="{697F8DD5-26E7-4CC1-A4A5-B1C1CFFCC7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P10:P11</xm:sqref>
        </x14:conditionalFormatting>
        <x14:conditionalFormatting xmlns:xm="http://schemas.microsoft.com/office/excel/2006/main">
          <x14:cfRule type="dataBar" id="{8ED7F83F-65A8-4056-B449-8419635F6196}">
            <x14:dataBar minLength="0" maxLength="100" gradient="0">
              <x14:cfvo type="autoMin"/>
              <x14:cfvo type="percent">
                <xm:f>100</xm:f>
              </x14:cfvo>
              <x14:negativeFillColor rgb="FFFF0000"/>
              <x14:axisColor rgb="FF000000"/>
            </x14:dataBar>
          </x14:cfRule>
          <xm:sqref>S3:S5 V3:V5 Y3:Y4</xm:sqref>
        </x14:conditionalFormatting>
        <x14:conditionalFormatting xmlns:xm="http://schemas.microsoft.com/office/excel/2006/main">
          <x14:cfRule type="dataBar" id="{7322A07F-FC63-4F73-B191-5A9B80FE2A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S10:S11</xm:sqref>
        </x14:conditionalFormatting>
        <x14:conditionalFormatting xmlns:xm="http://schemas.microsoft.com/office/excel/2006/main">
          <x14:cfRule type="dataBar" id="{7D75FA11-6581-4EBB-B6C2-D0601C7F80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V10:V11</xm:sqref>
        </x14:conditionalFormatting>
        <x14:conditionalFormatting xmlns:xm="http://schemas.microsoft.com/office/excel/2006/main">
          <x14:cfRule type="dataBar" id="{8FDA4F9C-782E-4710-BD16-0D4640CC39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Y5</xm:sqref>
        </x14:conditionalFormatting>
        <x14:conditionalFormatting xmlns:xm="http://schemas.microsoft.com/office/excel/2006/main">
          <x14:cfRule type="dataBar" id="{7976AE25-3AD2-4988-A6AE-F8FD84421A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Y10:Y11</xm:sqref>
        </x14:conditionalFormatting>
        <x14:conditionalFormatting xmlns:xm="http://schemas.microsoft.com/office/excel/2006/main">
          <x14:cfRule type="dataBar" id="{4699FFBA-0C8A-45C8-92A7-84A8A04A6F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AB3:AB4</xm:sqref>
        </x14:conditionalFormatting>
        <x14:conditionalFormatting xmlns:xm="http://schemas.microsoft.com/office/excel/2006/main">
          <x14:cfRule type="dataBar" id="{F6289B78-0175-4635-BE8B-30DBDC0D88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</xm:sqref>
        </x14:conditionalFormatting>
        <x14:conditionalFormatting xmlns:xm="http://schemas.microsoft.com/office/excel/2006/main">
          <x14:cfRule type="dataBar" id="{5ADBE3FB-C6E3-4199-9F4F-55EDA74EB9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AB10:AB11</xm:sqref>
        </x14:conditionalFormatting>
        <x14:conditionalFormatting xmlns:xm="http://schemas.microsoft.com/office/excel/2006/main">
          <x14:cfRule type="dataBar" id="{B67C82AD-31CE-45FD-B4A0-93B2424576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AE3:AE4</xm:sqref>
        </x14:conditionalFormatting>
        <x14:conditionalFormatting xmlns:xm="http://schemas.microsoft.com/office/excel/2006/main">
          <x14:cfRule type="dataBar" id="{DF267A60-C734-4E9D-BAAB-D5A14A0354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AE5</xm:sqref>
        </x14:conditionalFormatting>
        <x14:conditionalFormatting xmlns:xm="http://schemas.microsoft.com/office/excel/2006/main">
          <x14:cfRule type="dataBar" id="{C1471FE9-4945-41A5-919D-653C4170E1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AE10:AE11</xm:sqref>
        </x14:conditionalFormatting>
        <x14:conditionalFormatting xmlns:xm="http://schemas.microsoft.com/office/excel/2006/main">
          <x14:cfRule type="dataBar" id="{A9A996FC-5B82-47E7-9D39-ACE8613787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AH3:AH4</xm:sqref>
        </x14:conditionalFormatting>
        <x14:conditionalFormatting xmlns:xm="http://schemas.microsoft.com/office/excel/2006/main">
          <x14:cfRule type="dataBar" id="{FF38F255-2925-4CA4-8CA7-70ED1962C8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AH5</xm:sqref>
        </x14:conditionalFormatting>
        <x14:conditionalFormatting xmlns:xm="http://schemas.microsoft.com/office/excel/2006/main">
          <x14:cfRule type="dataBar" id="{9596D3BD-E709-4501-924F-4CC7FF9A32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AH10:AH11</xm:sqref>
        </x14:conditionalFormatting>
        <x14:conditionalFormatting xmlns:xm="http://schemas.microsoft.com/office/excel/2006/main">
          <x14:cfRule type="dataBar" id="{69CE9D65-E12A-49E2-B8A3-CB3032BC5B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AK3:AK4</xm:sqref>
        </x14:conditionalFormatting>
        <x14:conditionalFormatting xmlns:xm="http://schemas.microsoft.com/office/excel/2006/main">
          <x14:cfRule type="dataBar" id="{100F41AD-5795-4EE2-86A4-E9EDFA4DA3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</xm:sqref>
        </x14:conditionalFormatting>
        <x14:conditionalFormatting xmlns:xm="http://schemas.microsoft.com/office/excel/2006/main">
          <x14:cfRule type="dataBar" id="{FEDB9C4F-48B2-4860-9683-5E9779AE34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AK10:AK11</xm:sqref>
        </x14:conditionalFormatting>
        <x14:conditionalFormatting xmlns:xm="http://schemas.microsoft.com/office/excel/2006/main">
          <x14:cfRule type="dataBar" id="{8B9CD25F-252F-4B3C-8F0C-055650F55F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AN3:AN4</xm:sqref>
        </x14:conditionalFormatting>
        <x14:conditionalFormatting xmlns:xm="http://schemas.microsoft.com/office/excel/2006/main">
          <x14:cfRule type="dataBar" id="{8B500317-A800-4527-B98D-7895551361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AN5</xm:sqref>
        </x14:conditionalFormatting>
        <x14:conditionalFormatting xmlns:xm="http://schemas.microsoft.com/office/excel/2006/main">
          <x14:cfRule type="dataBar" id="{C5FE45AB-8A28-42C5-A94E-C513350035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AN10:AN11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N26"/>
  <sheetViews>
    <sheetView showGridLines="0" view="pageBreakPreview" zoomScale="60" zoomScaleNormal="90" workbookViewId="0">
      <pane xSplit="4" ySplit="2" topLeftCell="E3" activePane="bottomRight" state="frozen"/>
      <selection pane="topRight" activeCell="F1" sqref="F1"/>
      <selection pane="bottomLeft" activeCell="A4" sqref="A4"/>
      <selection pane="bottomRight" sqref="A1:XFD1048576"/>
    </sheetView>
  </sheetViews>
  <sheetFormatPr baseColWidth="10" defaultColWidth="10.85546875" defaultRowHeight="12.75" x14ac:dyDescent="0.2"/>
  <cols>
    <col min="1" max="1" width="33" style="507" customWidth="1"/>
    <col min="2" max="2" width="27.42578125" style="508" bestFit="1" customWidth="1"/>
    <col min="3" max="3" width="16.140625" style="509" bestFit="1" customWidth="1"/>
    <col min="4" max="4" width="7.42578125" style="510" bestFit="1" customWidth="1"/>
    <col min="5" max="5" width="14.140625" style="508" customWidth="1"/>
    <col min="6" max="6" width="13.42578125" style="509" bestFit="1" customWidth="1"/>
    <col min="7" max="7" width="7.28515625" style="510" bestFit="1" customWidth="1"/>
    <col min="8" max="8" width="13.28515625" style="508" bestFit="1" customWidth="1"/>
    <col min="9" max="9" width="15" style="509" bestFit="1" customWidth="1"/>
    <col min="10" max="10" width="10.42578125" style="510" bestFit="1" customWidth="1"/>
    <col min="11" max="11" width="13.42578125" style="508" bestFit="1" customWidth="1"/>
    <col min="12" max="12" width="13.85546875" style="509" bestFit="1" customWidth="1"/>
    <col min="13" max="13" width="10.42578125" style="510" bestFit="1" customWidth="1"/>
    <col min="14" max="14" width="15.42578125" style="508" bestFit="1" customWidth="1"/>
    <col min="15" max="15" width="16.140625" style="509" bestFit="1" customWidth="1"/>
    <col min="16" max="16" width="13.42578125" style="510" customWidth="1"/>
    <col min="17" max="17" width="14.85546875" style="508" bestFit="1" customWidth="1"/>
    <col min="18" max="18" width="14.42578125" style="509" bestFit="1" customWidth="1"/>
    <col min="19" max="19" width="12.42578125" style="510" bestFit="1" customWidth="1"/>
    <col min="20" max="20" width="15" style="508" bestFit="1" customWidth="1"/>
    <col min="21" max="21" width="13.28515625" style="509" bestFit="1" customWidth="1"/>
    <col min="22" max="22" width="11.42578125" style="510" bestFit="1" customWidth="1"/>
    <col min="23" max="23" width="14.85546875" style="508" bestFit="1" customWidth="1"/>
    <col min="24" max="24" width="13.28515625" style="509" bestFit="1" customWidth="1"/>
    <col min="25" max="25" width="7.28515625" style="510" customWidth="1"/>
    <col min="26" max="26" width="15.42578125" style="508" customWidth="1"/>
    <col min="27" max="27" width="13.42578125" style="509" bestFit="1" customWidth="1"/>
    <col min="28" max="28" width="7.28515625" style="510" customWidth="1"/>
    <col min="29" max="29" width="15" style="508" bestFit="1" customWidth="1"/>
    <col min="30" max="30" width="15" style="509" bestFit="1" customWidth="1"/>
    <col min="31" max="31" width="9" style="510" bestFit="1" customWidth="1"/>
    <col min="32" max="32" width="15" style="508" bestFit="1" customWidth="1"/>
    <col min="33" max="33" width="13.28515625" style="509" bestFit="1" customWidth="1"/>
    <col min="34" max="34" width="7.28515625" style="510" customWidth="1"/>
    <col min="35" max="35" width="16.7109375" style="508" bestFit="1" customWidth="1"/>
    <col min="36" max="36" width="14" style="509" bestFit="1" customWidth="1"/>
    <col min="37" max="37" width="16.42578125" style="510" bestFit="1" customWidth="1"/>
    <col min="38" max="38" width="17.28515625" style="508" bestFit="1" customWidth="1"/>
    <col min="39" max="39" width="17.140625" style="509" bestFit="1" customWidth="1"/>
    <col min="40" max="40" width="7.28515625" style="510" customWidth="1"/>
    <col min="41" max="41" width="10.85546875" style="509"/>
    <col min="42" max="42" width="11.42578125" style="509" bestFit="1" customWidth="1"/>
    <col min="43" max="43" width="12.42578125" style="509" bestFit="1" customWidth="1"/>
    <col min="44" max="16384" width="10.85546875" style="509"/>
  </cols>
  <sheetData>
    <row r="1" spans="1:40" s="463" customFormat="1" ht="22.5" customHeight="1" x14ac:dyDescent="0.25">
      <c r="A1" s="751" t="s">
        <v>1167</v>
      </c>
      <c r="B1" s="753" t="s">
        <v>0</v>
      </c>
      <c r="C1" s="754"/>
      <c r="D1" s="755"/>
      <c r="E1" s="749">
        <v>45658</v>
      </c>
      <c r="F1" s="749"/>
      <c r="G1" s="750"/>
      <c r="H1" s="748">
        <v>45689</v>
      </c>
      <c r="I1" s="749"/>
      <c r="J1" s="750"/>
      <c r="K1" s="748">
        <v>45717</v>
      </c>
      <c r="L1" s="749"/>
      <c r="M1" s="750"/>
      <c r="N1" s="748">
        <v>45748</v>
      </c>
      <c r="O1" s="749"/>
      <c r="P1" s="750"/>
      <c r="Q1" s="748">
        <v>45778</v>
      </c>
      <c r="R1" s="749"/>
      <c r="S1" s="750"/>
      <c r="T1" s="748">
        <v>45809</v>
      </c>
      <c r="U1" s="749"/>
      <c r="V1" s="750"/>
      <c r="W1" s="748">
        <v>45839</v>
      </c>
      <c r="X1" s="749"/>
      <c r="Y1" s="750"/>
      <c r="Z1" s="748">
        <v>45870</v>
      </c>
      <c r="AA1" s="749"/>
      <c r="AB1" s="750"/>
      <c r="AC1" s="748">
        <v>45901</v>
      </c>
      <c r="AD1" s="749"/>
      <c r="AE1" s="750"/>
      <c r="AF1" s="748">
        <v>45931</v>
      </c>
      <c r="AG1" s="749"/>
      <c r="AH1" s="750"/>
      <c r="AI1" s="748">
        <v>45962</v>
      </c>
      <c r="AJ1" s="749"/>
      <c r="AK1" s="750"/>
      <c r="AL1" s="748">
        <v>45992</v>
      </c>
      <c r="AM1" s="749"/>
      <c r="AN1" s="750"/>
    </row>
    <row r="2" spans="1:40" s="469" customFormat="1" ht="17.100000000000001" customHeight="1" thickBot="1" x14ac:dyDescent="0.3">
      <c r="A2" s="752"/>
      <c r="B2" s="464" t="s">
        <v>1</v>
      </c>
      <c r="C2" s="465" t="s">
        <v>2</v>
      </c>
      <c r="D2" s="466" t="s">
        <v>3</v>
      </c>
      <c r="E2" s="467" t="s">
        <v>1</v>
      </c>
      <c r="F2" s="465" t="s">
        <v>2</v>
      </c>
      <c r="G2" s="465" t="s">
        <v>3</v>
      </c>
      <c r="H2" s="468" t="s">
        <v>1</v>
      </c>
      <c r="I2" s="465" t="s">
        <v>2</v>
      </c>
      <c r="J2" s="465" t="s">
        <v>3</v>
      </c>
      <c r="K2" s="468" t="s">
        <v>1</v>
      </c>
      <c r="L2" s="465" t="s">
        <v>2</v>
      </c>
      <c r="M2" s="465" t="s">
        <v>3</v>
      </c>
      <c r="N2" s="468" t="s">
        <v>1</v>
      </c>
      <c r="O2" s="465" t="s">
        <v>2</v>
      </c>
      <c r="P2" s="465" t="s">
        <v>3</v>
      </c>
      <c r="Q2" s="468" t="s">
        <v>1</v>
      </c>
      <c r="R2" s="465" t="s">
        <v>2</v>
      </c>
      <c r="S2" s="465" t="s">
        <v>3</v>
      </c>
      <c r="T2" s="468" t="s">
        <v>1</v>
      </c>
      <c r="U2" s="465" t="s">
        <v>2</v>
      </c>
      <c r="V2" s="465" t="s">
        <v>3</v>
      </c>
      <c r="W2" s="468" t="s">
        <v>1</v>
      </c>
      <c r="X2" s="465" t="s">
        <v>2</v>
      </c>
      <c r="Y2" s="465" t="s">
        <v>3</v>
      </c>
      <c r="Z2" s="468" t="s">
        <v>1</v>
      </c>
      <c r="AA2" s="465" t="s">
        <v>2</v>
      </c>
      <c r="AB2" s="465" t="s">
        <v>3</v>
      </c>
      <c r="AC2" s="468" t="s">
        <v>1</v>
      </c>
      <c r="AD2" s="465" t="s">
        <v>2</v>
      </c>
      <c r="AE2" s="465" t="s">
        <v>3</v>
      </c>
      <c r="AF2" s="468" t="s">
        <v>1</v>
      </c>
      <c r="AG2" s="465" t="s">
        <v>2</v>
      </c>
      <c r="AH2" s="465" t="s">
        <v>3</v>
      </c>
      <c r="AI2" s="468" t="s">
        <v>1</v>
      </c>
      <c r="AJ2" s="465" t="s">
        <v>2</v>
      </c>
      <c r="AK2" s="465" t="s">
        <v>3</v>
      </c>
      <c r="AL2" s="468" t="s">
        <v>1</v>
      </c>
      <c r="AM2" s="465" t="s">
        <v>2</v>
      </c>
      <c r="AN2" s="466" t="s">
        <v>3</v>
      </c>
    </row>
    <row r="3" spans="1:40" s="477" customFormat="1" ht="24.6" customHeight="1" x14ac:dyDescent="0.25">
      <c r="A3" s="470" t="s">
        <v>4</v>
      </c>
      <c r="B3" s="530">
        <f>E3+H3+K3+N3+Q3+T3+W3+Z3+AC3+AF3+AI3+AL3</f>
        <v>0</v>
      </c>
      <c r="C3" s="531">
        <f t="shared" ref="C3:C11" si="0">F3+I3+L3+O3+R3+U3+X3+AA3+AD3+AG3+AJ3+AM3</f>
        <v>0</v>
      </c>
      <c r="D3" s="472" t="e">
        <f>C3/B3</f>
        <v>#DIV/0!</v>
      </c>
      <c r="E3" s="473"/>
      <c r="F3" s="474"/>
      <c r="G3" s="475" t="e">
        <f>F3/E3</f>
        <v>#DIV/0!</v>
      </c>
      <c r="H3" s="473"/>
      <c r="I3" s="471"/>
      <c r="J3" s="476" t="e">
        <f t="shared" ref="J3" si="1">I3/H3</f>
        <v>#DIV/0!</v>
      </c>
      <c r="K3" s="473"/>
      <c r="L3" s="471"/>
      <c r="M3" s="475" t="e">
        <f t="shared" ref="M3:M4" si="2">L3/K3</f>
        <v>#DIV/0!</v>
      </c>
      <c r="N3" s="473"/>
      <c r="O3" s="471"/>
      <c r="P3" s="475" t="e">
        <f t="shared" ref="P3:P4" si="3">O3/N3</f>
        <v>#DIV/0!</v>
      </c>
      <c r="Q3" s="473"/>
      <c r="R3" s="471"/>
      <c r="S3" s="475" t="e">
        <f t="shared" ref="S3:S4" si="4">R3/Q3</f>
        <v>#DIV/0!</v>
      </c>
      <c r="T3" s="473"/>
      <c r="U3" s="471"/>
      <c r="V3" s="475" t="e">
        <f t="shared" ref="V3:V4" si="5">U3/T3</f>
        <v>#DIV/0!</v>
      </c>
      <c r="W3" s="473"/>
      <c r="X3" s="471"/>
      <c r="Y3" s="475" t="e">
        <f>X3/W3</f>
        <v>#DIV/0!</v>
      </c>
      <c r="Z3" s="473"/>
      <c r="AA3" s="471"/>
      <c r="AB3" s="475" t="e">
        <f>AA3/Z3</f>
        <v>#DIV/0!</v>
      </c>
      <c r="AC3" s="473"/>
      <c r="AD3" s="471"/>
      <c r="AE3" s="475" t="e">
        <f>AD3/AC3</f>
        <v>#DIV/0!</v>
      </c>
      <c r="AF3" s="473"/>
      <c r="AG3" s="471"/>
      <c r="AH3" s="475" t="e">
        <f>AG3/AF3</f>
        <v>#DIV/0!</v>
      </c>
      <c r="AI3" s="473"/>
      <c r="AJ3" s="471"/>
      <c r="AK3" s="475" t="e">
        <f>AJ3/AI3</f>
        <v>#DIV/0!</v>
      </c>
      <c r="AL3" s="473"/>
      <c r="AM3" s="471"/>
      <c r="AN3" s="472" t="e">
        <f>AM3/AL3</f>
        <v>#DIV/0!</v>
      </c>
    </row>
    <row r="4" spans="1:40" s="477" customFormat="1" ht="24.6" customHeight="1" x14ac:dyDescent="0.25">
      <c r="A4" s="478" t="s">
        <v>5</v>
      </c>
      <c r="B4" s="532">
        <f>E4+H4+K4+N4+Q4+T4+W4+Z4+AC4+AF4+AI4+AL4</f>
        <v>0</v>
      </c>
      <c r="C4" s="533">
        <f t="shared" si="0"/>
        <v>0</v>
      </c>
      <c r="D4" s="480" t="e">
        <f>C4/B4</f>
        <v>#DIV/0!</v>
      </c>
      <c r="E4" s="481"/>
      <c r="F4" s="482"/>
      <c r="G4" s="476" t="e">
        <f>F4/E4</f>
        <v>#DIV/0!</v>
      </c>
      <c r="H4" s="481"/>
      <c r="I4" s="482"/>
      <c r="J4" s="476" t="e">
        <f>I4/H4</f>
        <v>#DIV/0!</v>
      </c>
      <c r="K4" s="481"/>
      <c r="L4" s="483"/>
      <c r="M4" s="476" t="e">
        <f t="shared" si="2"/>
        <v>#DIV/0!</v>
      </c>
      <c r="N4" s="481"/>
      <c r="O4" s="483"/>
      <c r="P4" s="476" t="e">
        <f t="shared" si="3"/>
        <v>#DIV/0!</v>
      </c>
      <c r="Q4" s="481"/>
      <c r="R4" s="483"/>
      <c r="S4" s="476" t="e">
        <f t="shared" si="4"/>
        <v>#DIV/0!</v>
      </c>
      <c r="T4" s="481"/>
      <c r="U4" s="483"/>
      <c r="V4" s="476" t="e">
        <f t="shared" si="5"/>
        <v>#DIV/0!</v>
      </c>
      <c r="W4" s="481"/>
      <c r="X4" s="483"/>
      <c r="Y4" s="476" t="e">
        <f>X4/W4</f>
        <v>#DIV/0!</v>
      </c>
      <c r="Z4" s="481"/>
      <c r="AA4" s="483"/>
      <c r="AB4" s="476" t="e">
        <f>AA4/Z4</f>
        <v>#DIV/0!</v>
      </c>
      <c r="AC4" s="481"/>
      <c r="AD4" s="483"/>
      <c r="AE4" s="476" t="e">
        <f>AD4/AC4</f>
        <v>#DIV/0!</v>
      </c>
      <c r="AF4" s="481"/>
      <c r="AG4" s="483"/>
      <c r="AH4" s="476" t="e">
        <f>AG4/AF4</f>
        <v>#DIV/0!</v>
      </c>
      <c r="AI4" s="481"/>
      <c r="AJ4" s="483"/>
      <c r="AK4" s="476" t="e">
        <f>AJ4/AI4</f>
        <v>#DIV/0!</v>
      </c>
      <c r="AL4" s="481"/>
      <c r="AM4" s="483"/>
      <c r="AN4" s="480" t="e">
        <f>AM4/AL4</f>
        <v>#DIV/0!</v>
      </c>
    </row>
    <row r="5" spans="1:40" s="488" customFormat="1" ht="24.6" customHeight="1" x14ac:dyDescent="0.25">
      <c r="A5" s="478" t="s">
        <v>6</v>
      </c>
      <c r="B5" s="534"/>
      <c r="C5" s="533">
        <f t="shared" si="0"/>
        <v>0</v>
      </c>
      <c r="D5" s="484" t="e">
        <f>C5/C4</f>
        <v>#DIV/0!</v>
      </c>
      <c r="E5" s="485"/>
      <c r="F5" s="479"/>
      <c r="G5" s="486" t="e">
        <f>F5/F4</f>
        <v>#DIV/0!</v>
      </c>
      <c r="H5" s="487"/>
      <c r="I5" s="483"/>
      <c r="J5" s="476" t="e">
        <f>I5/I4</f>
        <v>#DIV/0!</v>
      </c>
      <c r="K5" s="487"/>
      <c r="L5" s="483"/>
      <c r="M5" s="486" t="e">
        <f>L5/L4</f>
        <v>#DIV/0!</v>
      </c>
      <c r="N5" s="487"/>
      <c r="O5" s="483"/>
      <c r="P5" s="486" t="e">
        <f>O5/O4</f>
        <v>#DIV/0!</v>
      </c>
      <c r="Q5" s="487"/>
      <c r="R5" s="483"/>
      <c r="S5" s="486" t="e">
        <f>R5/R4</f>
        <v>#DIV/0!</v>
      </c>
      <c r="T5" s="487"/>
      <c r="U5" s="483"/>
      <c r="V5" s="486" t="e">
        <f>U5/U4</f>
        <v>#DIV/0!</v>
      </c>
      <c r="W5" s="487"/>
      <c r="X5" s="483"/>
      <c r="Y5" s="486" t="e">
        <f>X5/X4</f>
        <v>#DIV/0!</v>
      </c>
      <c r="Z5" s="487"/>
      <c r="AA5" s="483"/>
      <c r="AB5" s="486" t="e">
        <f>AA5/AA4</f>
        <v>#DIV/0!</v>
      </c>
      <c r="AC5" s="487"/>
      <c r="AD5" s="483"/>
      <c r="AE5" s="486" t="e">
        <f>AD5/AD4</f>
        <v>#DIV/0!</v>
      </c>
      <c r="AF5" s="487"/>
      <c r="AG5" s="483"/>
      <c r="AH5" s="486" t="e">
        <f>AG5/AG4</f>
        <v>#DIV/0!</v>
      </c>
      <c r="AI5" s="487"/>
      <c r="AJ5" s="483"/>
      <c r="AK5" s="486" t="e">
        <f>AJ5/AJ4</f>
        <v>#DIV/0!</v>
      </c>
      <c r="AL5" s="487"/>
      <c r="AM5" s="483"/>
      <c r="AN5" s="484" t="e">
        <f>AM5/AM4</f>
        <v>#DIV/0!</v>
      </c>
    </row>
    <row r="6" spans="1:40" s="477" customFormat="1" ht="24.6" customHeight="1" x14ac:dyDescent="0.25">
      <c r="A6" s="489" t="s">
        <v>7</v>
      </c>
      <c r="B6" s="535">
        <f t="shared" ref="B6:B11" si="6">E6+H6+K6+N6+Q6+T6+W6+Z6+AC6+AF6+AI6+AL6</f>
        <v>0</v>
      </c>
      <c r="C6" s="429">
        <f t="shared" si="0"/>
        <v>0</v>
      </c>
      <c r="D6" s="492" t="e">
        <f>C6/B6</f>
        <v>#DIV/0!</v>
      </c>
      <c r="E6" s="490"/>
      <c r="F6" s="491"/>
      <c r="G6" s="492" t="e">
        <f t="shared" ref="G6:G9" si="7">F6/F5</f>
        <v>#DIV/0!</v>
      </c>
      <c r="H6" s="490"/>
      <c r="I6" s="491"/>
      <c r="J6" s="492" t="e">
        <f t="shared" ref="J6:J9" si="8">I6/I5</f>
        <v>#DIV/0!</v>
      </c>
      <c r="K6" s="490"/>
      <c r="L6" s="491"/>
      <c r="M6" s="492" t="e">
        <f t="shared" ref="M6:M9" si="9">L6/L5</f>
        <v>#DIV/0!</v>
      </c>
      <c r="N6" s="490"/>
      <c r="O6" s="491"/>
      <c r="P6" s="492" t="e">
        <f t="shared" ref="P6:P9" si="10">O6/O5</f>
        <v>#DIV/0!</v>
      </c>
      <c r="Q6" s="490"/>
      <c r="R6" s="491"/>
      <c r="S6" s="492" t="e">
        <f>R6/R5</f>
        <v>#DIV/0!</v>
      </c>
      <c r="T6" s="490"/>
      <c r="U6" s="491"/>
      <c r="V6" s="492" t="e">
        <f t="shared" ref="V6:V9" si="11">U6/U5</f>
        <v>#DIV/0!</v>
      </c>
      <c r="W6" s="490"/>
      <c r="X6" s="491"/>
      <c r="Y6" s="492" t="e">
        <f t="shared" ref="Y6:Y9" si="12">X6/X5</f>
        <v>#DIV/0!</v>
      </c>
      <c r="Z6" s="490"/>
      <c r="AA6" s="491"/>
      <c r="AB6" s="492" t="e">
        <f t="shared" ref="AB6:AB9" si="13">AA6/AA5</f>
        <v>#DIV/0!</v>
      </c>
      <c r="AC6" s="490"/>
      <c r="AD6" s="491"/>
      <c r="AE6" s="492" t="e">
        <f t="shared" ref="AE6:AE9" si="14">AD6/AD5</f>
        <v>#DIV/0!</v>
      </c>
      <c r="AF6" s="490"/>
      <c r="AG6" s="491"/>
      <c r="AH6" s="492" t="e">
        <f t="shared" ref="AH6:AH9" si="15">AG6/AG5</f>
        <v>#DIV/0!</v>
      </c>
      <c r="AI6" s="490"/>
      <c r="AJ6" s="491"/>
      <c r="AK6" s="492" t="e">
        <f t="shared" ref="AK6:AK9" si="16">AJ6/AJ5</f>
        <v>#DIV/0!</v>
      </c>
      <c r="AL6" s="490"/>
      <c r="AM6" s="491"/>
      <c r="AN6" s="492" t="e">
        <f t="shared" ref="AN6:AN9" si="17">AM6/AM5</f>
        <v>#DIV/0!</v>
      </c>
    </row>
    <row r="7" spans="1:40" s="477" customFormat="1" ht="24.6" customHeight="1" x14ac:dyDescent="0.25">
      <c r="A7" s="489" t="s">
        <v>8</v>
      </c>
      <c r="B7" s="535">
        <f t="shared" si="6"/>
        <v>0</v>
      </c>
      <c r="C7" s="429">
        <f t="shared" si="0"/>
        <v>0</v>
      </c>
      <c r="D7" s="492" t="e">
        <f>C7/B7</f>
        <v>#DIV/0!</v>
      </c>
      <c r="E7" s="490"/>
      <c r="F7" s="491"/>
      <c r="G7" s="492" t="e">
        <f t="shared" si="7"/>
        <v>#DIV/0!</v>
      </c>
      <c r="H7" s="490"/>
      <c r="I7" s="491"/>
      <c r="J7" s="492" t="e">
        <f t="shared" si="8"/>
        <v>#DIV/0!</v>
      </c>
      <c r="K7" s="490"/>
      <c r="L7" s="491"/>
      <c r="M7" s="492" t="e">
        <f t="shared" si="9"/>
        <v>#DIV/0!</v>
      </c>
      <c r="N7" s="490"/>
      <c r="O7" s="491"/>
      <c r="P7" s="492" t="e">
        <f t="shared" si="10"/>
        <v>#DIV/0!</v>
      </c>
      <c r="Q7" s="490"/>
      <c r="R7" s="491"/>
      <c r="S7" s="492" t="e">
        <f t="shared" ref="S7:S9" si="18">R7/R6</f>
        <v>#DIV/0!</v>
      </c>
      <c r="T7" s="490"/>
      <c r="U7" s="491"/>
      <c r="V7" s="492" t="e">
        <f t="shared" si="11"/>
        <v>#DIV/0!</v>
      </c>
      <c r="W7" s="490"/>
      <c r="X7" s="491"/>
      <c r="Y7" s="492" t="e">
        <f t="shared" si="12"/>
        <v>#DIV/0!</v>
      </c>
      <c r="Z7" s="490"/>
      <c r="AA7" s="491"/>
      <c r="AB7" s="492" t="e">
        <f t="shared" si="13"/>
        <v>#DIV/0!</v>
      </c>
      <c r="AC7" s="490"/>
      <c r="AD7" s="491"/>
      <c r="AE7" s="492" t="e">
        <f t="shared" si="14"/>
        <v>#DIV/0!</v>
      </c>
      <c r="AF7" s="490"/>
      <c r="AG7" s="491"/>
      <c r="AH7" s="492" t="e">
        <f t="shared" si="15"/>
        <v>#DIV/0!</v>
      </c>
      <c r="AI7" s="490"/>
      <c r="AJ7" s="491"/>
      <c r="AK7" s="492" t="e">
        <f t="shared" si="16"/>
        <v>#DIV/0!</v>
      </c>
      <c r="AL7" s="490"/>
      <c r="AM7" s="491"/>
      <c r="AN7" s="492" t="e">
        <f t="shared" si="17"/>
        <v>#DIV/0!</v>
      </c>
    </row>
    <row r="8" spans="1:40" s="477" customFormat="1" ht="24.6" customHeight="1" x14ac:dyDescent="0.25">
      <c r="A8" s="489" t="s">
        <v>9</v>
      </c>
      <c r="B8" s="535">
        <f t="shared" si="6"/>
        <v>0</v>
      </c>
      <c r="C8" s="429">
        <f t="shared" si="0"/>
        <v>0</v>
      </c>
      <c r="D8" s="492" t="e">
        <f>C8/B8</f>
        <v>#DIV/0!</v>
      </c>
      <c r="E8" s="490"/>
      <c r="F8" s="491"/>
      <c r="G8" s="492" t="e">
        <f t="shared" si="7"/>
        <v>#DIV/0!</v>
      </c>
      <c r="H8" s="490"/>
      <c r="I8" s="491"/>
      <c r="J8" s="492" t="e">
        <f t="shared" si="8"/>
        <v>#DIV/0!</v>
      </c>
      <c r="K8" s="490"/>
      <c r="L8" s="491"/>
      <c r="M8" s="492" t="e">
        <f t="shared" si="9"/>
        <v>#DIV/0!</v>
      </c>
      <c r="N8" s="490"/>
      <c r="O8" s="491"/>
      <c r="P8" s="492" t="e">
        <f t="shared" si="10"/>
        <v>#DIV/0!</v>
      </c>
      <c r="Q8" s="490"/>
      <c r="R8" s="491"/>
      <c r="S8" s="492" t="e">
        <f t="shared" si="18"/>
        <v>#DIV/0!</v>
      </c>
      <c r="T8" s="490"/>
      <c r="U8" s="491"/>
      <c r="V8" s="492" t="e">
        <f t="shared" si="11"/>
        <v>#DIV/0!</v>
      </c>
      <c r="W8" s="490"/>
      <c r="X8" s="491"/>
      <c r="Y8" s="492" t="e">
        <f t="shared" si="12"/>
        <v>#DIV/0!</v>
      </c>
      <c r="Z8" s="490"/>
      <c r="AA8" s="491"/>
      <c r="AB8" s="492" t="e">
        <f t="shared" si="13"/>
        <v>#DIV/0!</v>
      </c>
      <c r="AC8" s="490"/>
      <c r="AD8" s="491"/>
      <c r="AE8" s="492" t="e">
        <f t="shared" si="14"/>
        <v>#DIV/0!</v>
      </c>
      <c r="AF8" s="490"/>
      <c r="AG8" s="491"/>
      <c r="AH8" s="492" t="e">
        <f t="shared" si="15"/>
        <v>#DIV/0!</v>
      </c>
      <c r="AI8" s="490"/>
      <c r="AJ8" s="491"/>
      <c r="AK8" s="492" t="e">
        <f t="shared" si="16"/>
        <v>#DIV/0!</v>
      </c>
      <c r="AL8" s="490"/>
      <c r="AM8" s="491"/>
      <c r="AN8" s="492" t="e">
        <f t="shared" si="17"/>
        <v>#DIV/0!</v>
      </c>
    </row>
    <row r="9" spans="1:40" s="477" customFormat="1" ht="24.6" customHeight="1" x14ac:dyDescent="0.25">
      <c r="A9" s="489" t="s">
        <v>10</v>
      </c>
      <c r="B9" s="535">
        <f t="shared" si="6"/>
        <v>0</v>
      </c>
      <c r="C9" s="429">
        <f t="shared" si="0"/>
        <v>0</v>
      </c>
      <c r="D9" s="492" t="e">
        <f t="shared" ref="D9:D11" si="19">C9/B9</f>
        <v>#DIV/0!</v>
      </c>
      <c r="E9" s="490"/>
      <c r="F9" s="491"/>
      <c r="G9" s="492" t="e">
        <f t="shared" si="7"/>
        <v>#DIV/0!</v>
      </c>
      <c r="H9" s="490"/>
      <c r="I9" s="491"/>
      <c r="J9" s="492" t="e">
        <f t="shared" si="8"/>
        <v>#DIV/0!</v>
      </c>
      <c r="K9" s="490"/>
      <c r="L9" s="491"/>
      <c r="M9" s="492" t="e">
        <f t="shared" si="9"/>
        <v>#DIV/0!</v>
      </c>
      <c r="N9" s="490"/>
      <c r="O9" s="491"/>
      <c r="P9" s="492" t="e">
        <f t="shared" si="10"/>
        <v>#DIV/0!</v>
      </c>
      <c r="Q9" s="490"/>
      <c r="R9" s="491"/>
      <c r="S9" s="492" t="e">
        <f t="shared" si="18"/>
        <v>#DIV/0!</v>
      </c>
      <c r="T9" s="490"/>
      <c r="U9" s="491"/>
      <c r="V9" s="492" t="e">
        <f t="shared" si="11"/>
        <v>#DIV/0!</v>
      </c>
      <c r="W9" s="490"/>
      <c r="X9" s="491"/>
      <c r="Y9" s="492" t="e">
        <f t="shared" si="12"/>
        <v>#DIV/0!</v>
      </c>
      <c r="Z9" s="490"/>
      <c r="AA9" s="491"/>
      <c r="AB9" s="492" t="e">
        <f t="shared" si="13"/>
        <v>#DIV/0!</v>
      </c>
      <c r="AC9" s="490"/>
      <c r="AD9" s="491"/>
      <c r="AE9" s="492" t="e">
        <f t="shared" si="14"/>
        <v>#DIV/0!</v>
      </c>
      <c r="AF9" s="490"/>
      <c r="AG9" s="491"/>
      <c r="AH9" s="492" t="e">
        <f t="shared" si="15"/>
        <v>#DIV/0!</v>
      </c>
      <c r="AI9" s="490"/>
      <c r="AJ9" s="491"/>
      <c r="AK9" s="492" t="e">
        <f t="shared" si="16"/>
        <v>#DIV/0!</v>
      </c>
      <c r="AL9" s="490"/>
      <c r="AM9" s="491"/>
      <c r="AN9" s="492" t="e">
        <f t="shared" si="17"/>
        <v>#DIV/0!</v>
      </c>
    </row>
    <row r="10" spans="1:40" s="477" customFormat="1" ht="24.6" customHeight="1" x14ac:dyDescent="0.25">
      <c r="A10" s="493" t="s">
        <v>11</v>
      </c>
      <c r="B10" s="536">
        <f t="shared" si="6"/>
        <v>0</v>
      </c>
      <c r="C10" s="430">
        <f t="shared" si="0"/>
        <v>0</v>
      </c>
      <c r="D10" s="496" t="e">
        <f t="shared" si="19"/>
        <v>#DIV/0!</v>
      </c>
      <c r="E10" s="494">
        <f>SUM(E6:E9)</f>
        <v>0</v>
      </c>
      <c r="F10" s="495">
        <f>SUM(F6:F9)</f>
        <v>0</v>
      </c>
      <c r="G10" s="496" t="e">
        <f>F10/E10</f>
        <v>#DIV/0!</v>
      </c>
      <c r="H10" s="494">
        <f>SUM(H6:H9)</f>
        <v>0</v>
      </c>
      <c r="I10" s="495">
        <f>SUM(I6:I9)</f>
        <v>0</v>
      </c>
      <c r="J10" s="496" t="e">
        <f>I10/H10</f>
        <v>#DIV/0!</v>
      </c>
      <c r="K10" s="494">
        <f>SUM(K6:K9)</f>
        <v>0</v>
      </c>
      <c r="L10" s="495">
        <f>SUM(L6:L9)</f>
        <v>0</v>
      </c>
      <c r="M10" s="496" t="e">
        <f>L10/K10</f>
        <v>#DIV/0!</v>
      </c>
      <c r="N10" s="494">
        <f>SUM(N6:N9)</f>
        <v>0</v>
      </c>
      <c r="O10" s="495">
        <f>SUM(O6:O9)</f>
        <v>0</v>
      </c>
      <c r="P10" s="496" t="e">
        <f>O10/N10</f>
        <v>#DIV/0!</v>
      </c>
      <c r="Q10" s="494">
        <f>SUM(Q6:Q9)</f>
        <v>0</v>
      </c>
      <c r="R10" s="495">
        <f>SUM(R6:R9)</f>
        <v>0</v>
      </c>
      <c r="S10" s="496" t="e">
        <f>R10/Q10</f>
        <v>#DIV/0!</v>
      </c>
      <c r="T10" s="494">
        <f>SUM(T6:T9)</f>
        <v>0</v>
      </c>
      <c r="U10" s="495">
        <f>SUM(U6:U9)</f>
        <v>0</v>
      </c>
      <c r="V10" s="496" t="e">
        <f>U10/T10</f>
        <v>#DIV/0!</v>
      </c>
      <c r="W10" s="494">
        <f>SUM(W6:W9)</f>
        <v>0</v>
      </c>
      <c r="X10" s="495">
        <f>SUM(X6:X9)</f>
        <v>0</v>
      </c>
      <c r="Y10" s="496" t="e">
        <f>X10/W10</f>
        <v>#DIV/0!</v>
      </c>
      <c r="Z10" s="494">
        <f>SUM(Z6:Z9)</f>
        <v>0</v>
      </c>
      <c r="AA10" s="495">
        <f>SUM(AA6:AA9)</f>
        <v>0</v>
      </c>
      <c r="AB10" s="496" t="e">
        <f>AA10/Z10</f>
        <v>#DIV/0!</v>
      </c>
      <c r="AC10" s="494">
        <f>SUM(AC6:AC9)</f>
        <v>0</v>
      </c>
      <c r="AD10" s="495">
        <f>SUM(AD6:AD9)</f>
        <v>0</v>
      </c>
      <c r="AE10" s="496" t="e">
        <f>AD10/AC10</f>
        <v>#DIV/0!</v>
      </c>
      <c r="AF10" s="494">
        <f>SUM(AF6:AF9)</f>
        <v>0</v>
      </c>
      <c r="AG10" s="495">
        <f>SUM(AG6:AG9)</f>
        <v>0</v>
      </c>
      <c r="AH10" s="496" t="e">
        <f>AG10/AF10</f>
        <v>#DIV/0!</v>
      </c>
      <c r="AI10" s="494">
        <f>SUM(AI6:AI9)</f>
        <v>0</v>
      </c>
      <c r="AJ10" s="495">
        <f>SUM(AJ6:AJ9)</f>
        <v>0</v>
      </c>
      <c r="AK10" s="496" t="e">
        <f>AJ10/AI10</f>
        <v>#DIV/0!</v>
      </c>
      <c r="AL10" s="494">
        <f>SUM(AL6:AL9)</f>
        <v>0</v>
      </c>
      <c r="AM10" s="495">
        <f>SUM(AM6:AM9)</f>
        <v>0</v>
      </c>
      <c r="AN10" s="496" t="e">
        <f>AM10/AL10</f>
        <v>#DIV/0!</v>
      </c>
    </row>
    <row r="11" spans="1:40" s="488" customFormat="1" ht="24.6" customHeight="1" x14ac:dyDescent="0.25">
      <c r="A11" s="497" t="s">
        <v>12</v>
      </c>
      <c r="B11" s="431">
        <f t="shared" si="6"/>
        <v>0</v>
      </c>
      <c r="C11" s="432">
        <f t="shared" si="0"/>
        <v>0</v>
      </c>
      <c r="D11" s="500" t="e">
        <f t="shared" si="19"/>
        <v>#DIV/0!</v>
      </c>
      <c r="E11" s="498"/>
      <c r="F11" s="499"/>
      <c r="G11" s="500" t="e">
        <f>F11/E11</f>
        <v>#DIV/0!</v>
      </c>
      <c r="H11" s="498"/>
      <c r="I11" s="499"/>
      <c r="J11" s="500" t="e">
        <f>I11/H11</f>
        <v>#DIV/0!</v>
      </c>
      <c r="K11" s="498"/>
      <c r="L11" s="499"/>
      <c r="M11" s="500" t="e">
        <f>L11/K11</f>
        <v>#DIV/0!</v>
      </c>
      <c r="N11" s="498"/>
      <c r="O11" s="499"/>
      <c r="P11" s="500" t="e">
        <f>O11/N11</f>
        <v>#DIV/0!</v>
      </c>
      <c r="Q11" s="498"/>
      <c r="R11" s="499"/>
      <c r="S11" s="500" t="e">
        <f>R11/Q11</f>
        <v>#DIV/0!</v>
      </c>
      <c r="T11" s="498"/>
      <c r="U11" s="499"/>
      <c r="V11" s="500" t="e">
        <f>U11/T11</f>
        <v>#DIV/0!</v>
      </c>
      <c r="W11" s="498"/>
      <c r="X11" s="499"/>
      <c r="Y11" s="500" t="e">
        <f>X11/W11</f>
        <v>#DIV/0!</v>
      </c>
      <c r="Z11" s="498"/>
      <c r="AA11" s="499"/>
      <c r="AB11" s="500" t="e">
        <f>AA11/Z11</f>
        <v>#DIV/0!</v>
      </c>
      <c r="AC11" s="498"/>
      <c r="AD11" s="499"/>
      <c r="AE11" s="500" t="e">
        <f>AD11/AC11</f>
        <v>#DIV/0!</v>
      </c>
      <c r="AF11" s="498"/>
      <c r="AG11" s="499"/>
      <c r="AH11" s="500" t="e">
        <f>AG11/AF11</f>
        <v>#DIV/0!</v>
      </c>
      <c r="AI11" s="498"/>
      <c r="AJ11" s="499"/>
      <c r="AK11" s="500" t="e">
        <f>AJ11/AI11</f>
        <v>#DIV/0!</v>
      </c>
      <c r="AL11" s="498"/>
      <c r="AM11" s="499"/>
      <c r="AN11" s="500" t="e">
        <f>AM11/AL11</f>
        <v>#DIV/0!</v>
      </c>
    </row>
    <row r="12" spans="1:40" s="477" customFormat="1" ht="24.6" customHeight="1" x14ac:dyDescent="0.25">
      <c r="A12" s="501" t="s">
        <v>13</v>
      </c>
      <c r="B12" s="537"/>
      <c r="C12" s="409" t="e">
        <f>AVERAGE(AM12,AJ12,AG12,AD12,AA12,X12,U12,R12,O12,L12,I12,F12)</f>
        <v>#DIV/0!</v>
      </c>
      <c r="D12" s="502"/>
      <c r="E12" s="502"/>
      <c r="F12" s="503"/>
      <c r="G12" s="502"/>
      <c r="H12" s="502"/>
      <c r="I12" s="503"/>
      <c r="J12" s="502"/>
      <c r="K12" s="502"/>
      <c r="L12" s="503"/>
      <c r="M12" s="502"/>
      <c r="N12" s="502"/>
      <c r="O12" s="503"/>
      <c r="P12" s="502"/>
      <c r="Q12" s="502"/>
      <c r="R12" s="503"/>
      <c r="S12" s="502"/>
      <c r="T12" s="502"/>
      <c r="U12" s="503"/>
      <c r="V12" s="502"/>
      <c r="W12" s="502"/>
      <c r="X12" s="503"/>
      <c r="Y12" s="502"/>
      <c r="Z12" s="502"/>
      <c r="AA12" s="503"/>
      <c r="AB12" s="502"/>
      <c r="AC12" s="502"/>
      <c r="AD12" s="503"/>
      <c r="AE12" s="502"/>
      <c r="AF12" s="502"/>
      <c r="AG12" s="503"/>
      <c r="AH12" s="502"/>
      <c r="AI12" s="502"/>
      <c r="AJ12" s="503"/>
      <c r="AK12" s="502"/>
      <c r="AL12" s="502"/>
      <c r="AM12" s="503"/>
      <c r="AN12" s="502"/>
    </row>
    <row r="13" spans="1:40" s="477" customFormat="1" ht="24.6" customHeight="1" thickBot="1" x14ac:dyDescent="0.3">
      <c r="A13" s="504" t="s">
        <v>14</v>
      </c>
      <c r="B13" s="538"/>
      <c r="C13" s="410" t="e">
        <f>AVERAGE(AM13,AJ13,AG13,AD13,AA13,X13,U13,R13,O13,L13,I13,F13)</f>
        <v>#DIV/0!</v>
      </c>
      <c r="D13" s="505"/>
      <c r="E13" s="505"/>
      <c r="F13" s="506"/>
      <c r="G13" s="505"/>
      <c r="H13" s="505"/>
      <c r="I13" s="506"/>
      <c r="J13" s="505"/>
      <c r="K13" s="505"/>
      <c r="L13" s="506"/>
      <c r="M13" s="505"/>
      <c r="N13" s="505"/>
      <c r="O13" s="506"/>
      <c r="P13" s="505"/>
      <c r="Q13" s="505"/>
      <c r="R13" s="506"/>
      <c r="S13" s="505"/>
      <c r="T13" s="505"/>
      <c r="U13" s="506"/>
      <c r="V13" s="505"/>
      <c r="W13" s="505"/>
      <c r="X13" s="506"/>
      <c r="Y13" s="505"/>
      <c r="Z13" s="505"/>
      <c r="AA13" s="506"/>
      <c r="AB13" s="505"/>
      <c r="AC13" s="505"/>
      <c r="AD13" s="506"/>
      <c r="AE13" s="505"/>
      <c r="AF13" s="505"/>
      <c r="AG13" s="506"/>
      <c r="AH13" s="505"/>
      <c r="AI13" s="505"/>
      <c r="AJ13" s="506"/>
      <c r="AK13" s="505"/>
      <c r="AL13" s="505"/>
      <c r="AM13" s="506"/>
      <c r="AN13" s="505"/>
    </row>
    <row r="14" spans="1:40" x14ac:dyDescent="0.2">
      <c r="K14" s="511"/>
      <c r="L14" s="511"/>
      <c r="M14" s="512"/>
    </row>
    <row r="15" spans="1:40" x14ac:dyDescent="0.2">
      <c r="B15" s="513"/>
      <c r="E15" s="514">
        <f>+E11</f>
        <v>0</v>
      </c>
      <c r="F15" s="514">
        <f>+F11</f>
        <v>0</v>
      </c>
      <c r="G15" s="500" t="e">
        <f>F15/E15</f>
        <v>#DIV/0!</v>
      </c>
      <c r="H15" s="514">
        <f>+H11+E15</f>
        <v>0</v>
      </c>
      <c r="I15" s="514">
        <f>+I11+F15</f>
        <v>0</v>
      </c>
      <c r="J15" s="500" t="e">
        <f t="shared" ref="J15" si="20">I15/H15</f>
        <v>#DIV/0!</v>
      </c>
      <c r="K15" s="514">
        <f t="shared" ref="K15:L15" si="21">+K11+H15</f>
        <v>0</v>
      </c>
      <c r="L15" s="514">
        <f t="shared" si="21"/>
        <v>0</v>
      </c>
      <c r="M15" s="500" t="e">
        <f t="shared" ref="M15" si="22">L15/K15</f>
        <v>#DIV/0!</v>
      </c>
      <c r="N15" s="514">
        <f t="shared" ref="N15:O15" si="23">+N11+K15</f>
        <v>0</v>
      </c>
      <c r="O15" s="514">
        <f t="shared" si="23"/>
        <v>0</v>
      </c>
      <c r="P15" s="500" t="e">
        <f>O15/N15</f>
        <v>#DIV/0!</v>
      </c>
      <c r="Q15" s="514">
        <f t="shared" ref="Q15:R15" si="24">+Q11+N15</f>
        <v>0</v>
      </c>
      <c r="R15" s="514">
        <f t="shared" si="24"/>
        <v>0</v>
      </c>
      <c r="S15" s="500" t="e">
        <f t="shared" ref="S15" si="25">R15/Q15</f>
        <v>#DIV/0!</v>
      </c>
      <c r="T15" s="514">
        <f t="shared" ref="T15:U15" si="26">+T11+Q15</f>
        <v>0</v>
      </c>
      <c r="U15" s="514">
        <f t="shared" si="26"/>
        <v>0</v>
      </c>
      <c r="V15" s="500" t="e">
        <f t="shared" ref="V15" si="27">U15/T15</f>
        <v>#DIV/0!</v>
      </c>
      <c r="W15" s="514">
        <f t="shared" ref="W15:X15" si="28">+W11+T15</f>
        <v>0</v>
      </c>
      <c r="X15" s="514">
        <f t="shared" si="28"/>
        <v>0</v>
      </c>
      <c r="Y15" s="500" t="e">
        <f t="shared" ref="Y15" si="29">X15/W15</f>
        <v>#DIV/0!</v>
      </c>
      <c r="Z15" s="514">
        <f t="shared" ref="Z15:AA15" si="30">+Z11+W15</f>
        <v>0</v>
      </c>
      <c r="AA15" s="514">
        <f t="shared" si="30"/>
        <v>0</v>
      </c>
      <c r="AB15" s="500" t="e">
        <f t="shared" ref="AB15" si="31">AA15/Z15</f>
        <v>#DIV/0!</v>
      </c>
      <c r="AC15" s="514">
        <f t="shared" ref="AC15:AD15" si="32">+AC11+Z15</f>
        <v>0</v>
      </c>
      <c r="AD15" s="514">
        <f t="shared" si="32"/>
        <v>0</v>
      </c>
      <c r="AE15" s="500" t="e">
        <f t="shared" ref="AE15" si="33">AD15/AC15</f>
        <v>#DIV/0!</v>
      </c>
      <c r="AF15" s="514">
        <f t="shared" ref="AF15:AG15" si="34">+AF11+AC15</f>
        <v>0</v>
      </c>
      <c r="AG15" s="514">
        <f t="shared" si="34"/>
        <v>0</v>
      </c>
      <c r="AH15" s="500" t="e">
        <f t="shared" ref="AH15" si="35">AG15/AF15</f>
        <v>#DIV/0!</v>
      </c>
      <c r="AI15" s="514">
        <f t="shared" ref="AI15" si="36">+AI11+AF15</f>
        <v>0</v>
      </c>
      <c r="AJ15" s="514">
        <f>+AJ11+AG15</f>
        <v>0</v>
      </c>
      <c r="AK15" s="500" t="e">
        <f t="shared" ref="AK15" si="37">AJ15/AI15</f>
        <v>#DIV/0!</v>
      </c>
    </row>
    <row r="16" spans="1:40" x14ac:dyDescent="0.2">
      <c r="A16" s="515"/>
      <c r="B16" s="516"/>
      <c r="C16" s="517"/>
      <c r="E16" s="518"/>
      <c r="F16" s="518"/>
      <c r="H16" s="518"/>
      <c r="I16" s="518"/>
      <c r="L16" s="519"/>
      <c r="M16" s="520"/>
      <c r="N16" s="519"/>
      <c r="O16" s="519"/>
      <c r="P16" s="520"/>
      <c r="Q16" s="519"/>
      <c r="R16" s="519"/>
      <c r="S16" s="520"/>
      <c r="T16" s="521"/>
      <c r="U16" s="521"/>
      <c r="V16" s="522"/>
      <c r="AC16" s="511"/>
      <c r="AD16" s="511"/>
      <c r="AE16" s="523"/>
      <c r="AF16" s="511"/>
      <c r="AG16" s="511"/>
      <c r="AH16" s="523"/>
      <c r="AI16" s="511"/>
      <c r="AJ16" s="511"/>
      <c r="AK16" s="523"/>
      <c r="AL16" s="511"/>
      <c r="AM16" s="511"/>
      <c r="AN16" s="523"/>
    </row>
    <row r="17" spans="1:40" x14ac:dyDescent="0.2">
      <c r="A17" s="524"/>
      <c r="B17" s="511"/>
      <c r="C17" s="518"/>
      <c r="D17" s="525"/>
      <c r="L17" s="519"/>
      <c r="M17" s="520"/>
      <c r="N17" s="519"/>
      <c r="O17" s="519"/>
      <c r="P17" s="520"/>
      <c r="Q17" s="519"/>
      <c r="R17" s="519"/>
      <c r="S17" s="523"/>
      <c r="AI17" s="511"/>
      <c r="AJ17" s="511"/>
      <c r="AK17" s="523"/>
      <c r="AL17" s="511"/>
      <c r="AM17" s="511"/>
      <c r="AN17" s="523"/>
    </row>
    <row r="18" spans="1:40" x14ac:dyDescent="0.2">
      <c r="B18" s="511"/>
      <c r="H18" s="518"/>
      <c r="I18" s="518"/>
      <c r="L18" s="526"/>
      <c r="M18" s="527"/>
      <c r="N18" s="526"/>
      <c r="O18" s="526"/>
      <c r="P18" s="527"/>
      <c r="Q18" s="526"/>
      <c r="R18" s="526"/>
      <c r="AI18" s="511"/>
      <c r="AJ18" s="511"/>
      <c r="AK18" s="523"/>
      <c r="AL18" s="511"/>
      <c r="AM18" s="511"/>
      <c r="AN18" s="523"/>
    </row>
    <row r="19" spans="1:40" x14ac:dyDescent="0.2">
      <c r="B19" s="511"/>
      <c r="C19" s="511"/>
      <c r="D19" s="528"/>
      <c r="L19" s="519"/>
      <c r="M19" s="520"/>
      <c r="N19" s="519"/>
      <c r="O19" s="519"/>
      <c r="P19" s="520"/>
      <c r="Q19" s="519"/>
      <c r="R19" s="519"/>
    </row>
    <row r="20" spans="1:40" x14ac:dyDescent="0.2">
      <c r="A20" s="524"/>
      <c r="B20" s="511"/>
      <c r="C20" s="519"/>
      <c r="D20" s="520"/>
      <c r="AI20" s="511"/>
      <c r="AJ20" s="511"/>
      <c r="AK20" s="523"/>
      <c r="AL20" s="511"/>
      <c r="AM20" s="511"/>
      <c r="AN20" s="523"/>
    </row>
    <row r="21" spans="1:40" x14ac:dyDescent="0.2">
      <c r="A21" s="515"/>
      <c r="B21" s="511"/>
      <c r="C21" s="519"/>
      <c r="D21" s="520"/>
      <c r="E21" s="515"/>
      <c r="Q21" s="511"/>
      <c r="R21" s="511"/>
      <c r="S21" s="529"/>
    </row>
    <row r="24" spans="1:40" x14ac:dyDescent="0.2">
      <c r="E24" s="514"/>
      <c r="F24" s="514"/>
      <c r="I24" s="509" t="s">
        <v>15</v>
      </c>
    </row>
    <row r="25" spans="1:40" x14ac:dyDescent="0.2">
      <c r="E25" s="514"/>
      <c r="F25" s="514"/>
    </row>
    <row r="26" spans="1:40" x14ac:dyDescent="0.2">
      <c r="E26" s="514"/>
      <c r="F26" s="514"/>
    </row>
  </sheetData>
  <mergeCells count="14">
    <mergeCell ref="AI1:AK1"/>
    <mergeCell ref="AL1:AN1"/>
    <mergeCell ref="Q1:S1"/>
    <mergeCell ref="T1:V1"/>
    <mergeCell ref="W1:Y1"/>
    <mergeCell ref="Z1:AB1"/>
    <mergeCell ref="AC1:AE1"/>
    <mergeCell ref="AF1:AH1"/>
    <mergeCell ref="N1:P1"/>
    <mergeCell ref="A1:A2"/>
    <mergeCell ref="B1:D1"/>
    <mergeCell ref="E1:G1"/>
    <mergeCell ref="H1:J1"/>
    <mergeCell ref="K1:M1"/>
  </mergeCells>
  <conditionalFormatting sqref="D3">
    <cfRule type="dataBar" priority="16">
      <dataBar>
        <cfvo type="min"/>
        <cfvo type="percent" val="100"/>
        <color rgb="FFFF555A"/>
      </dataBar>
      <extLst>
        <ext xmlns:x14="http://schemas.microsoft.com/office/spreadsheetml/2009/9/main" uri="{B025F937-C7B1-47D3-B67F-A62EFF666E3E}">
          <x14:id>{8AA9BCD6-D119-4DC5-B77B-6E274E05DC6C}</x14:id>
        </ext>
      </extLst>
    </cfRule>
  </conditionalFormatting>
  <conditionalFormatting sqref="D3:D5 D10:D11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{21F6AF69-04C5-4DAB-9379-89FBF98C99AB}</x14:id>
        </ext>
      </extLst>
    </cfRule>
  </conditionalFormatting>
  <conditionalFormatting sqref="G3:G5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{212DF888-811B-499B-902C-CEA5077E4FDB}</x14:id>
        </ext>
      </extLst>
    </cfRule>
  </conditionalFormatting>
  <conditionalFormatting sqref="G10:G11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{F6EA8D8C-2B0B-4BF7-BDAB-2BD8FB9937C7}</x14:id>
        </ext>
      </extLst>
    </cfRule>
  </conditionalFormatting>
  <conditionalFormatting sqref="G1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{D025629F-E82C-4890-987A-2174FD0AF0A0}</x14:id>
        </ext>
      </extLst>
    </cfRule>
  </conditionalFormatting>
  <conditionalFormatting sqref="J3:J5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{F243E7F2-FC8F-47C4-8B0F-AD01F93B03DE}</x14:id>
        </ext>
      </extLst>
    </cfRule>
  </conditionalFormatting>
  <conditionalFormatting sqref="J10:J1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{B1468E2A-7325-493F-BA4C-92E3AA36C0C6}</x14:id>
        </ext>
      </extLst>
    </cfRule>
  </conditionalFormatting>
  <conditionalFormatting sqref="J15 M15 P15 S15 V15 Y15 AB15 AE15 AH15 AK1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{AF12664E-4FCF-4C22-91E5-ADD2AAC5483B}</x14:id>
        </ext>
      </extLst>
    </cfRule>
  </conditionalFormatting>
  <conditionalFormatting sqref="M3:M5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{A080A8D9-30F1-4026-ABDA-014507337904}</x14:id>
        </ext>
      </extLst>
    </cfRule>
  </conditionalFormatting>
  <conditionalFormatting sqref="M10:M1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{7F07A135-267E-430A-A009-44EAFED94E6C}</x14:id>
        </ext>
      </extLst>
    </cfRule>
  </conditionalFormatting>
  <conditionalFormatting sqref="M1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{FE654A31-2F41-49AF-8820-2E9D6AA07F53}</x14:id>
        </ext>
      </extLst>
    </cfRule>
  </conditionalFormatting>
  <conditionalFormatting sqref="P3:P5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{4DD3AA2C-CF98-405A-BCE7-4AD4786AFC15}</x14:id>
        </ext>
      </extLst>
    </cfRule>
  </conditionalFormatting>
  <conditionalFormatting sqref="P10:P11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{FF83FDA6-77F6-44F1-ACBD-C41738F439E5}</x14:id>
        </ext>
      </extLst>
    </cfRule>
  </conditionalFormatting>
  <conditionalFormatting sqref="S3:S5 V3:V5 Y3:Y4">
    <cfRule type="dataBar" priority="23">
      <dataBar>
        <cfvo type="min"/>
        <cfvo type="percent" val="100"/>
        <color rgb="FF63C384"/>
      </dataBar>
      <extLst>
        <ext xmlns:x14="http://schemas.microsoft.com/office/spreadsheetml/2009/9/main" uri="{B025F937-C7B1-47D3-B67F-A62EFF666E3E}">
          <x14:id>{7C0912C2-BA18-48FF-9AAA-817FDCF25FEB}</x14:id>
        </ext>
      </extLst>
    </cfRule>
  </conditionalFormatting>
  <conditionalFormatting sqref="S10:S1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{14556151-D888-4B55-9301-F398232F2AEB}</x14:id>
        </ext>
      </extLst>
    </cfRule>
  </conditionalFormatting>
  <conditionalFormatting sqref="V10:V11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{50FB195B-B259-4B02-A064-2075A020CA91}</x14:id>
        </ext>
      </extLst>
    </cfRule>
  </conditionalFormatting>
  <conditionalFormatting sqref="Y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{8A110F04-585D-4AF8-9559-5056A638535A}</x14:id>
        </ext>
      </extLst>
    </cfRule>
  </conditionalFormatting>
  <conditionalFormatting sqref="Y10:Y11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{A9FBBA08-843C-442E-9DAF-D7EFF1081356}</x14:id>
        </ext>
      </extLst>
    </cfRule>
  </conditionalFormatting>
  <conditionalFormatting sqref="AB3:AB4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{6DA445B1-08B6-47C0-8558-F14525281058}</x14:id>
        </ext>
      </extLst>
    </cfRule>
  </conditionalFormatting>
  <conditionalFormatting sqref="AB5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{8F783ED5-37C0-4C90-AE8A-E6404B1D7E31}</x14:id>
        </ext>
      </extLst>
    </cfRule>
  </conditionalFormatting>
  <conditionalFormatting sqref="AB10:AB1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{744A3875-7F06-452C-822E-1A0BB716983A}</x14:id>
        </ext>
      </extLst>
    </cfRule>
  </conditionalFormatting>
  <conditionalFormatting sqref="AE3:AE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{6F7837A2-333E-468F-B1FA-15AFA14F94CF}</x14:id>
        </ext>
      </extLst>
    </cfRule>
  </conditionalFormatting>
  <conditionalFormatting sqref="AE5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{3E46B977-FDB5-4110-8789-B38E3F5A045D}</x14:id>
        </ext>
      </extLst>
    </cfRule>
  </conditionalFormatting>
  <conditionalFormatting sqref="AE10:AE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{7870D3BA-3AA2-42FF-AFFA-E1DF9FA139B3}</x14:id>
        </ext>
      </extLst>
    </cfRule>
  </conditionalFormatting>
  <conditionalFormatting sqref="AH3:AH4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{F5365E81-941A-4DB7-863D-CB1A75749DB3}</x14:id>
        </ext>
      </extLst>
    </cfRule>
  </conditionalFormatting>
  <conditionalFormatting sqref="AH5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{A7E790C6-B247-4A5D-8606-18A1CE5529D5}</x14:id>
        </ext>
      </extLst>
    </cfRule>
  </conditionalFormatting>
  <conditionalFormatting sqref="AH10:AH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{16F0B337-3550-4AB5-B4E6-C6352D97DABC}</x14:id>
        </ext>
      </extLst>
    </cfRule>
  </conditionalFormatting>
  <conditionalFormatting sqref="AK3:AK4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{4EF545AD-2C9C-4B3B-8C91-FAC30EB052C9}</x14:id>
        </ext>
      </extLst>
    </cfRule>
  </conditionalFormatting>
  <conditionalFormatting sqref="AK5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{C432D9A7-6C81-4250-8E89-0CF2B57891A4}</x14:id>
        </ext>
      </extLst>
    </cfRule>
  </conditionalFormatting>
  <conditionalFormatting sqref="AK10:AK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{5F368D9A-788E-44D2-8902-7EC4D23B2EDB}</x14:id>
        </ext>
      </extLst>
    </cfRule>
  </conditionalFormatting>
  <conditionalFormatting sqref="AN3:AN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{39B5644A-5862-40E9-AFEA-7F8B5879C7B1}</x14:id>
        </ext>
      </extLst>
    </cfRule>
  </conditionalFormatting>
  <conditionalFormatting sqref="AN5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{9C049AC9-94AF-4CDC-87DD-85EA87EBCB78}</x14:id>
        </ext>
      </extLst>
    </cfRule>
  </conditionalFormatting>
  <conditionalFormatting sqref="AN10:AN1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{B223D5FD-2A78-4ADD-9EB5-159A41EE895B}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scale="23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A9BCD6-D119-4DC5-B77B-6E274E05DC6C}">
            <x14:dataBar minLength="0" maxLength="100" border="1" negativeBarBorderColorSameAsPositive="0">
              <x14:cfvo type="autoMin"/>
              <x14:cfvo type="percent">
                <xm:f>100</xm:f>
              </x14:cfvo>
              <x14:borderColor rgb="FFFF555A"/>
              <x14:negativeFillColor rgb="FFFF0000"/>
              <x14:negativeBorderColor rgb="FFFF0000"/>
              <x14:axisColor rgb="FF000000"/>
            </x14:dataBar>
          </x14:cfRule>
          <xm:sqref>D3</xm:sqref>
        </x14:conditionalFormatting>
        <x14:conditionalFormatting xmlns:xm="http://schemas.microsoft.com/office/excel/2006/main">
          <x14:cfRule type="dataBar" id="{21F6AF69-04C5-4DAB-9379-89FBF98C99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D3:D5 D10:D11</xm:sqref>
        </x14:conditionalFormatting>
        <x14:conditionalFormatting xmlns:xm="http://schemas.microsoft.com/office/excel/2006/main">
          <x14:cfRule type="dataBar" id="{212DF888-811B-499B-902C-CEA5077E4F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G3:G5</xm:sqref>
        </x14:conditionalFormatting>
        <x14:conditionalFormatting xmlns:xm="http://schemas.microsoft.com/office/excel/2006/main">
          <x14:cfRule type="dataBar" id="{F6EA8D8C-2B0B-4BF7-BDAB-2BD8FB9937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G10:G11</xm:sqref>
        </x14:conditionalFormatting>
        <x14:conditionalFormatting xmlns:xm="http://schemas.microsoft.com/office/excel/2006/main">
          <x14:cfRule type="dataBar" id="{D025629F-E82C-4890-987A-2174FD0AF0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G15</xm:sqref>
        </x14:conditionalFormatting>
        <x14:conditionalFormatting xmlns:xm="http://schemas.microsoft.com/office/excel/2006/main">
          <x14:cfRule type="dataBar" id="{F243E7F2-FC8F-47C4-8B0F-AD01F93B03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J3:J5</xm:sqref>
        </x14:conditionalFormatting>
        <x14:conditionalFormatting xmlns:xm="http://schemas.microsoft.com/office/excel/2006/main">
          <x14:cfRule type="dataBar" id="{B1468E2A-7325-493F-BA4C-92E3AA36C0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J10:J11</xm:sqref>
        </x14:conditionalFormatting>
        <x14:conditionalFormatting xmlns:xm="http://schemas.microsoft.com/office/excel/2006/main">
          <x14:cfRule type="dataBar" id="{AF12664E-4FCF-4C22-91E5-ADD2AAC548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J15 M15 P15 S15 V15 Y15 AB15 AE15 AH15 AK15</xm:sqref>
        </x14:conditionalFormatting>
        <x14:conditionalFormatting xmlns:xm="http://schemas.microsoft.com/office/excel/2006/main">
          <x14:cfRule type="dataBar" id="{A080A8D9-30F1-4026-ABDA-0145073379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M3:M5</xm:sqref>
        </x14:conditionalFormatting>
        <x14:conditionalFormatting xmlns:xm="http://schemas.microsoft.com/office/excel/2006/main">
          <x14:cfRule type="dataBar" id="{7F07A135-267E-430A-A009-44EAFED94E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M10:M11</xm:sqref>
        </x14:conditionalFormatting>
        <x14:conditionalFormatting xmlns:xm="http://schemas.microsoft.com/office/excel/2006/main">
          <x14:cfRule type="dataBar" id="{FE654A31-2F41-49AF-8820-2E9D6AA07F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4DD3AA2C-CF98-405A-BCE7-4AD4786AFC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P3:P5</xm:sqref>
        </x14:conditionalFormatting>
        <x14:conditionalFormatting xmlns:xm="http://schemas.microsoft.com/office/excel/2006/main">
          <x14:cfRule type="dataBar" id="{FF83FDA6-77F6-44F1-ACBD-C41738F439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P10:P11</xm:sqref>
        </x14:conditionalFormatting>
        <x14:conditionalFormatting xmlns:xm="http://schemas.microsoft.com/office/excel/2006/main">
          <x14:cfRule type="dataBar" id="{7C0912C2-BA18-48FF-9AAA-817FDCF25FEB}">
            <x14:dataBar minLength="0" maxLength="100" gradient="0">
              <x14:cfvo type="autoMin"/>
              <x14:cfvo type="percent">
                <xm:f>100</xm:f>
              </x14:cfvo>
              <x14:negativeFillColor rgb="FFFF0000"/>
              <x14:axisColor rgb="FF000000"/>
            </x14:dataBar>
          </x14:cfRule>
          <xm:sqref>S3:S5 V3:V5 Y3:Y4</xm:sqref>
        </x14:conditionalFormatting>
        <x14:conditionalFormatting xmlns:xm="http://schemas.microsoft.com/office/excel/2006/main">
          <x14:cfRule type="dataBar" id="{14556151-D888-4B55-9301-F398232F2A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S10:S11</xm:sqref>
        </x14:conditionalFormatting>
        <x14:conditionalFormatting xmlns:xm="http://schemas.microsoft.com/office/excel/2006/main">
          <x14:cfRule type="dataBar" id="{50FB195B-B259-4B02-A064-2075A020CA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V10:V11</xm:sqref>
        </x14:conditionalFormatting>
        <x14:conditionalFormatting xmlns:xm="http://schemas.microsoft.com/office/excel/2006/main">
          <x14:cfRule type="dataBar" id="{8A110F04-585D-4AF8-9559-5056A63853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Y5</xm:sqref>
        </x14:conditionalFormatting>
        <x14:conditionalFormatting xmlns:xm="http://schemas.microsoft.com/office/excel/2006/main">
          <x14:cfRule type="dataBar" id="{A9FBBA08-843C-442E-9DAF-D7EFF10813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Y10:Y11</xm:sqref>
        </x14:conditionalFormatting>
        <x14:conditionalFormatting xmlns:xm="http://schemas.microsoft.com/office/excel/2006/main">
          <x14:cfRule type="dataBar" id="{6DA445B1-08B6-47C0-8558-F145252810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AB3:AB4</xm:sqref>
        </x14:conditionalFormatting>
        <x14:conditionalFormatting xmlns:xm="http://schemas.microsoft.com/office/excel/2006/main">
          <x14:cfRule type="dataBar" id="{8F783ED5-37C0-4C90-AE8A-E6404B1D7E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</xm:sqref>
        </x14:conditionalFormatting>
        <x14:conditionalFormatting xmlns:xm="http://schemas.microsoft.com/office/excel/2006/main">
          <x14:cfRule type="dataBar" id="{744A3875-7F06-452C-822E-1A0BB71698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AB10:AB11</xm:sqref>
        </x14:conditionalFormatting>
        <x14:conditionalFormatting xmlns:xm="http://schemas.microsoft.com/office/excel/2006/main">
          <x14:cfRule type="dataBar" id="{6F7837A2-333E-468F-B1FA-15AFA14F94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AE3:AE4</xm:sqref>
        </x14:conditionalFormatting>
        <x14:conditionalFormatting xmlns:xm="http://schemas.microsoft.com/office/excel/2006/main">
          <x14:cfRule type="dataBar" id="{3E46B977-FDB5-4110-8789-B38E3F5A04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AE5</xm:sqref>
        </x14:conditionalFormatting>
        <x14:conditionalFormatting xmlns:xm="http://schemas.microsoft.com/office/excel/2006/main">
          <x14:cfRule type="dataBar" id="{7870D3BA-3AA2-42FF-AFFA-E1DF9FA139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AE10:AE11</xm:sqref>
        </x14:conditionalFormatting>
        <x14:conditionalFormatting xmlns:xm="http://schemas.microsoft.com/office/excel/2006/main">
          <x14:cfRule type="dataBar" id="{F5365E81-941A-4DB7-863D-CB1A75749D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AH3:AH4</xm:sqref>
        </x14:conditionalFormatting>
        <x14:conditionalFormatting xmlns:xm="http://schemas.microsoft.com/office/excel/2006/main">
          <x14:cfRule type="dataBar" id="{A7E790C6-B247-4A5D-8606-18A1CE5529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AH5</xm:sqref>
        </x14:conditionalFormatting>
        <x14:conditionalFormatting xmlns:xm="http://schemas.microsoft.com/office/excel/2006/main">
          <x14:cfRule type="dataBar" id="{16F0B337-3550-4AB5-B4E6-C6352D97DA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AH10:AH11</xm:sqref>
        </x14:conditionalFormatting>
        <x14:conditionalFormatting xmlns:xm="http://schemas.microsoft.com/office/excel/2006/main">
          <x14:cfRule type="dataBar" id="{4EF545AD-2C9C-4B3B-8C91-FAC30EB052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AK3:AK4</xm:sqref>
        </x14:conditionalFormatting>
        <x14:conditionalFormatting xmlns:xm="http://schemas.microsoft.com/office/excel/2006/main">
          <x14:cfRule type="dataBar" id="{C432D9A7-6C81-4250-8E89-0CF2B57891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</xm:sqref>
        </x14:conditionalFormatting>
        <x14:conditionalFormatting xmlns:xm="http://schemas.microsoft.com/office/excel/2006/main">
          <x14:cfRule type="dataBar" id="{5F368D9A-788E-44D2-8902-7EC4D23B2E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AK10:AK11</xm:sqref>
        </x14:conditionalFormatting>
        <x14:conditionalFormatting xmlns:xm="http://schemas.microsoft.com/office/excel/2006/main">
          <x14:cfRule type="dataBar" id="{39B5644A-5862-40E9-AFEA-7F8B5879C7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AN3:AN4</xm:sqref>
        </x14:conditionalFormatting>
        <x14:conditionalFormatting xmlns:xm="http://schemas.microsoft.com/office/excel/2006/main">
          <x14:cfRule type="dataBar" id="{9C049AC9-94AF-4CDC-87DD-85EA87EBCB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AN5</xm:sqref>
        </x14:conditionalFormatting>
        <x14:conditionalFormatting xmlns:xm="http://schemas.microsoft.com/office/excel/2006/main">
          <x14:cfRule type="dataBar" id="{B223D5FD-2A78-4ADD-9EB5-159A41EE89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AN10:AN11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N24"/>
  <sheetViews>
    <sheetView showGridLines="0" zoomScaleNormal="100" workbookViewId="0">
      <pane xSplit="4" ySplit="2" topLeftCell="AD3" activePane="bottomRight" state="frozen"/>
      <selection pane="topRight" activeCell="F1" sqref="F1"/>
      <selection pane="bottomLeft" activeCell="A4" sqref="A4"/>
      <selection pane="bottomRight" sqref="A1:XFD1048576"/>
    </sheetView>
  </sheetViews>
  <sheetFormatPr baseColWidth="10" defaultColWidth="10.85546875" defaultRowHeight="12.75" x14ac:dyDescent="0.2"/>
  <cols>
    <col min="1" max="1" width="33" style="507" customWidth="1"/>
    <col min="2" max="2" width="27.42578125" style="508" bestFit="1" customWidth="1"/>
    <col min="3" max="3" width="16.140625" style="509" bestFit="1" customWidth="1"/>
    <col min="4" max="4" width="7.42578125" style="510" bestFit="1" customWidth="1"/>
    <col min="5" max="5" width="14.140625" style="508" customWidth="1"/>
    <col min="6" max="6" width="13.42578125" style="509" bestFit="1" customWidth="1"/>
    <col min="7" max="7" width="7.28515625" style="510" bestFit="1" customWidth="1"/>
    <col min="8" max="8" width="13.28515625" style="508" bestFit="1" customWidth="1"/>
    <col min="9" max="9" width="15" style="509" bestFit="1" customWidth="1"/>
    <col min="10" max="10" width="10.42578125" style="510" bestFit="1" customWidth="1"/>
    <col min="11" max="11" width="13.42578125" style="508" bestFit="1" customWidth="1"/>
    <col min="12" max="12" width="13.85546875" style="509" bestFit="1" customWidth="1"/>
    <col min="13" max="13" width="10.42578125" style="510" bestFit="1" customWidth="1"/>
    <col min="14" max="14" width="15.42578125" style="508" bestFit="1" customWidth="1"/>
    <col min="15" max="15" width="16.140625" style="509" bestFit="1" customWidth="1"/>
    <col min="16" max="16" width="13.42578125" style="510" customWidth="1"/>
    <col min="17" max="17" width="14.85546875" style="508" bestFit="1" customWidth="1"/>
    <col min="18" max="18" width="14.42578125" style="509" bestFit="1" customWidth="1"/>
    <col min="19" max="19" width="12.42578125" style="510" bestFit="1" customWidth="1"/>
    <col min="20" max="20" width="15" style="508" bestFit="1" customWidth="1"/>
    <col min="21" max="21" width="13.28515625" style="509" bestFit="1" customWidth="1"/>
    <col min="22" max="22" width="11.42578125" style="510" bestFit="1" customWidth="1"/>
    <col min="23" max="23" width="14.85546875" style="508" bestFit="1" customWidth="1"/>
    <col min="24" max="24" width="13.28515625" style="509" bestFit="1" customWidth="1"/>
    <col min="25" max="25" width="7.28515625" style="510" customWidth="1"/>
    <col min="26" max="26" width="15.42578125" style="508" customWidth="1"/>
    <col min="27" max="27" width="13.42578125" style="509" bestFit="1" customWidth="1"/>
    <col min="28" max="28" width="7.28515625" style="510" customWidth="1"/>
    <col min="29" max="29" width="15" style="508" bestFit="1" customWidth="1"/>
    <col min="30" max="30" width="15" style="509" bestFit="1" customWidth="1"/>
    <col min="31" max="31" width="9" style="510" bestFit="1" customWidth="1"/>
    <col min="32" max="32" width="15" style="508" bestFit="1" customWidth="1"/>
    <col min="33" max="33" width="13.28515625" style="509" bestFit="1" customWidth="1"/>
    <col min="34" max="34" width="7.28515625" style="510" customWidth="1"/>
    <col min="35" max="35" width="16.7109375" style="508" bestFit="1" customWidth="1"/>
    <col min="36" max="36" width="14" style="509" bestFit="1" customWidth="1"/>
    <col min="37" max="37" width="16.42578125" style="510" bestFit="1" customWidth="1"/>
    <col min="38" max="38" width="17.28515625" style="508" bestFit="1" customWidth="1"/>
    <col min="39" max="39" width="17.140625" style="509" bestFit="1" customWidth="1"/>
    <col min="40" max="40" width="7.28515625" style="510" customWidth="1"/>
    <col min="41" max="41" width="10.85546875" style="509"/>
    <col min="42" max="42" width="11.42578125" style="509" bestFit="1" customWidth="1"/>
    <col min="43" max="43" width="12.42578125" style="509" bestFit="1" customWidth="1"/>
    <col min="44" max="16384" width="10.85546875" style="509"/>
  </cols>
  <sheetData>
    <row r="1" spans="1:40" s="463" customFormat="1" ht="22.5" customHeight="1" x14ac:dyDescent="0.25">
      <c r="A1" s="751" t="s">
        <v>1168</v>
      </c>
      <c r="B1" s="753" t="s">
        <v>0</v>
      </c>
      <c r="C1" s="754"/>
      <c r="D1" s="755"/>
      <c r="E1" s="749">
        <v>45658</v>
      </c>
      <c r="F1" s="749"/>
      <c r="G1" s="750"/>
      <c r="H1" s="748">
        <v>45689</v>
      </c>
      <c r="I1" s="749"/>
      <c r="J1" s="750"/>
      <c r="K1" s="748">
        <v>45717</v>
      </c>
      <c r="L1" s="749"/>
      <c r="M1" s="750"/>
      <c r="N1" s="748">
        <v>45748</v>
      </c>
      <c r="O1" s="749"/>
      <c r="P1" s="750"/>
      <c r="Q1" s="748">
        <v>45778</v>
      </c>
      <c r="R1" s="749"/>
      <c r="S1" s="750"/>
      <c r="T1" s="748">
        <v>45809</v>
      </c>
      <c r="U1" s="749"/>
      <c r="V1" s="750"/>
      <c r="W1" s="748">
        <v>45839</v>
      </c>
      <c r="X1" s="749"/>
      <c r="Y1" s="750"/>
      <c r="Z1" s="748">
        <v>45870</v>
      </c>
      <c r="AA1" s="749"/>
      <c r="AB1" s="750"/>
      <c r="AC1" s="748">
        <v>45901</v>
      </c>
      <c r="AD1" s="749"/>
      <c r="AE1" s="750"/>
      <c r="AF1" s="748">
        <v>45931</v>
      </c>
      <c r="AG1" s="749"/>
      <c r="AH1" s="750"/>
      <c r="AI1" s="748">
        <v>45962</v>
      </c>
      <c r="AJ1" s="749"/>
      <c r="AK1" s="750"/>
      <c r="AL1" s="748">
        <v>45992</v>
      </c>
      <c r="AM1" s="749"/>
      <c r="AN1" s="750"/>
    </row>
    <row r="2" spans="1:40" s="469" customFormat="1" ht="17.100000000000001" customHeight="1" thickBot="1" x14ac:dyDescent="0.3">
      <c r="A2" s="752"/>
      <c r="B2" s="464" t="s">
        <v>1</v>
      </c>
      <c r="C2" s="465" t="s">
        <v>2</v>
      </c>
      <c r="D2" s="466" t="s">
        <v>3</v>
      </c>
      <c r="E2" s="467" t="s">
        <v>1</v>
      </c>
      <c r="F2" s="465" t="s">
        <v>2</v>
      </c>
      <c r="G2" s="465" t="s">
        <v>3</v>
      </c>
      <c r="H2" s="468" t="s">
        <v>1</v>
      </c>
      <c r="I2" s="465" t="s">
        <v>2</v>
      </c>
      <c r="J2" s="465" t="s">
        <v>3</v>
      </c>
      <c r="K2" s="468" t="s">
        <v>1</v>
      </c>
      <c r="L2" s="465" t="s">
        <v>2</v>
      </c>
      <c r="M2" s="465" t="s">
        <v>3</v>
      </c>
      <c r="N2" s="468" t="s">
        <v>1</v>
      </c>
      <c r="O2" s="465" t="s">
        <v>2</v>
      </c>
      <c r="P2" s="465" t="s">
        <v>3</v>
      </c>
      <c r="Q2" s="468" t="s">
        <v>1</v>
      </c>
      <c r="R2" s="465" t="s">
        <v>2</v>
      </c>
      <c r="S2" s="465" t="s">
        <v>3</v>
      </c>
      <c r="T2" s="468" t="s">
        <v>1</v>
      </c>
      <c r="U2" s="465" t="s">
        <v>2</v>
      </c>
      <c r="V2" s="465" t="s">
        <v>3</v>
      </c>
      <c r="W2" s="468" t="s">
        <v>1</v>
      </c>
      <c r="X2" s="465" t="s">
        <v>2</v>
      </c>
      <c r="Y2" s="465" t="s">
        <v>3</v>
      </c>
      <c r="Z2" s="468" t="s">
        <v>1</v>
      </c>
      <c r="AA2" s="465" t="s">
        <v>2</v>
      </c>
      <c r="AB2" s="465" t="s">
        <v>3</v>
      </c>
      <c r="AC2" s="468" t="s">
        <v>1</v>
      </c>
      <c r="AD2" s="465" t="s">
        <v>2</v>
      </c>
      <c r="AE2" s="465" t="s">
        <v>3</v>
      </c>
      <c r="AF2" s="468" t="s">
        <v>1</v>
      </c>
      <c r="AG2" s="465" t="s">
        <v>2</v>
      </c>
      <c r="AH2" s="465" t="s">
        <v>3</v>
      </c>
      <c r="AI2" s="468" t="s">
        <v>1</v>
      </c>
      <c r="AJ2" s="465" t="s">
        <v>2</v>
      </c>
      <c r="AK2" s="465" t="s">
        <v>3</v>
      </c>
      <c r="AL2" s="468" t="s">
        <v>1</v>
      </c>
      <c r="AM2" s="465" t="s">
        <v>2</v>
      </c>
      <c r="AN2" s="466" t="s">
        <v>3</v>
      </c>
    </row>
    <row r="3" spans="1:40" s="477" customFormat="1" ht="24.6" customHeight="1" x14ac:dyDescent="0.25">
      <c r="A3" s="470" t="s">
        <v>4</v>
      </c>
      <c r="B3" s="530">
        <f>E3+H3+K3+N3+Q3+T3+W3+Z3+AC3+AF3+AI3+AL3</f>
        <v>0</v>
      </c>
      <c r="C3" s="531">
        <f t="shared" ref="C3:C11" si="0">F3+I3+L3+O3+R3+U3+X3+AA3+AD3+AG3+AJ3+AM3</f>
        <v>0</v>
      </c>
      <c r="D3" s="472" t="e">
        <f>C3/B3</f>
        <v>#DIV/0!</v>
      </c>
      <c r="E3" s="473"/>
      <c r="F3" s="474"/>
      <c r="G3" s="475" t="e">
        <f>F3/E3</f>
        <v>#DIV/0!</v>
      </c>
      <c r="H3" s="473"/>
      <c r="I3" s="471"/>
      <c r="J3" s="476" t="e">
        <f t="shared" ref="J3" si="1">I3/H3</f>
        <v>#DIV/0!</v>
      </c>
      <c r="K3" s="473"/>
      <c r="L3" s="471"/>
      <c r="M3" s="475" t="e">
        <f t="shared" ref="M3:M4" si="2">L3/K3</f>
        <v>#DIV/0!</v>
      </c>
      <c r="N3" s="473"/>
      <c r="O3" s="471"/>
      <c r="P3" s="475" t="e">
        <f t="shared" ref="P3:P4" si="3">O3/N3</f>
        <v>#DIV/0!</v>
      </c>
      <c r="Q3" s="473"/>
      <c r="R3" s="471"/>
      <c r="S3" s="475" t="e">
        <f t="shared" ref="S3:S4" si="4">R3/Q3</f>
        <v>#DIV/0!</v>
      </c>
      <c r="T3" s="473"/>
      <c r="U3" s="471"/>
      <c r="V3" s="475" t="e">
        <f t="shared" ref="V3:V4" si="5">U3/T3</f>
        <v>#DIV/0!</v>
      </c>
      <c r="W3" s="473"/>
      <c r="X3" s="471"/>
      <c r="Y3" s="475" t="e">
        <f>X3/W3</f>
        <v>#DIV/0!</v>
      </c>
      <c r="Z3" s="473"/>
      <c r="AA3" s="471"/>
      <c r="AB3" s="475" t="e">
        <f>AA3/Z3</f>
        <v>#DIV/0!</v>
      </c>
      <c r="AC3" s="473"/>
      <c r="AD3" s="471"/>
      <c r="AE3" s="475" t="e">
        <f>AD3/AC3</f>
        <v>#DIV/0!</v>
      </c>
      <c r="AF3" s="473"/>
      <c r="AG3" s="471"/>
      <c r="AH3" s="475" t="e">
        <f>AG3/AF3</f>
        <v>#DIV/0!</v>
      </c>
      <c r="AI3" s="473"/>
      <c r="AJ3" s="471"/>
      <c r="AK3" s="475" t="e">
        <f>AJ3/AI3</f>
        <v>#DIV/0!</v>
      </c>
      <c r="AL3" s="473"/>
      <c r="AM3" s="471"/>
      <c r="AN3" s="472" t="e">
        <f>AM3/AL3</f>
        <v>#DIV/0!</v>
      </c>
    </row>
    <row r="4" spans="1:40" s="477" customFormat="1" ht="24.6" customHeight="1" x14ac:dyDescent="0.25">
      <c r="A4" s="478" t="s">
        <v>5</v>
      </c>
      <c r="B4" s="532">
        <f>E4+H4+K4+N4+Q4+T4+W4+Z4+AC4+AF4+AI4+AL4</f>
        <v>0</v>
      </c>
      <c r="C4" s="533">
        <f t="shared" si="0"/>
        <v>0</v>
      </c>
      <c r="D4" s="480" t="e">
        <f>C4/B4</f>
        <v>#DIV/0!</v>
      </c>
      <c r="E4" s="481"/>
      <c r="F4" s="482"/>
      <c r="G4" s="476" t="e">
        <f>F4/E4</f>
        <v>#DIV/0!</v>
      </c>
      <c r="H4" s="481"/>
      <c r="I4" s="482"/>
      <c r="J4" s="476" t="e">
        <f>I4/H4</f>
        <v>#DIV/0!</v>
      </c>
      <c r="K4" s="481"/>
      <c r="L4" s="483"/>
      <c r="M4" s="476" t="e">
        <f t="shared" si="2"/>
        <v>#DIV/0!</v>
      </c>
      <c r="N4" s="481"/>
      <c r="O4" s="483"/>
      <c r="P4" s="476" t="e">
        <f t="shared" si="3"/>
        <v>#DIV/0!</v>
      </c>
      <c r="Q4" s="481"/>
      <c r="R4" s="483"/>
      <c r="S4" s="476" t="e">
        <f t="shared" si="4"/>
        <v>#DIV/0!</v>
      </c>
      <c r="T4" s="481"/>
      <c r="U4" s="483"/>
      <c r="V4" s="476" t="e">
        <f t="shared" si="5"/>
        <v>#DIV/0!</v>
      </c>
      <c r="W4" s="481"/>
      <c r="X4" s="483"/>
      <c r="Y4" s="476" t="e">
        <f>X4/W4</f>
        <v>#DIV/0!</v>
      </c>
      <c r="Z4" s="481"/>
      <c r="AA4" s="483"/>
      <c r="AB4" s="476" t="e">
        <f>AA4/Z4</f>
        <v>#DIV/0!</v>
      </c>
      <c r="AC4" s="481"/>
      <c r="AD4" s="483"/>
      <c r="AE4" s="476" t="e">
        <f>AD4/AC4</f>
        <v>#DIV/0!</v>
      </c>
      <c r="AF4" s="481"/>
      <c r="AG4" s="483"/>
      <c r="AH4" s="476" t="e">
        <f>AG4/AF4</f>
        <v>#DIV/0!</v>
      </c>
      <c r="AI4" s="481"/>
      <c r="AJ4" s="483"/>
      <c r="AK4" s="476" t="e">
        <f>AJ4/AI4</f>
        <v>#DIV/0!</v>
      </c>
      <c r="AL4" s="481"/>
      <c r="AM4" s="483"/>
      <c r="AN4" s="480" t="e">
        <f>AM4/AL4</f>
        <v>#DIV/0!</v>
      </c>
    </row>
    <row r="5" spans="1:40" s="488" customFormat="1" ht="24.6" customHeight="1" x14ac:dyDescent="0.25">
      <c r="A5" s="478" t="s">
        <v>6</v>
      </c>
      <c r="B5" s="534"/>
      <c r="C5" s="533">
        <f t="shared" si="0"/>
        <v>0</v>
      </c>
      <c r="D5" s="484" t="e">
        <f>C5/C4</f>
        <v>#DIV/0!</v>
      </c>
      <c r="E5" s="485"/>
      <c r="F5" s="479"/>
      <c r="G5" s="486" t="e">
        <f>F5/F4</f>
        <v>#DIV/0!</v>
      </c>
      <c r="H5" s="487"/>
      <c r="I5" s="483"/>
      <c r="J5" s="476" t="e">
        <f>I5/I4</f>
        <v>#DIV/0!</v>
      </c>
      <c r="K5" s="487"/>
      <c r="L5" s="483"/>
      <c r="M5" s="486" t="e">
        <f>L5/L4</f>
        <v>#DIV/0!</v>
      </c>
      <c r="N5" s="487"/>
      <c r="O5" s="483"/>
      <c r="P5" s="486" t="e">
        <f>O5/O4</f>
        <v>#DIV/0!</v>
      </c>
      <c r="Q5" s="487"/>
      <c r="R5" s="483"/>
      <c r="S5" s="486" t="e">
        <f>R5/R4</f>
        <v>#DIV/0!</v>
      </c>
      <c r="T5" s="487"/>
      <c r="U5" s="483"/>
      <c r="V5" s="486" t="e">
        <f>U5/U4</f>
        <v>#DIV/0!</v>
      </c>
      <c r="W5" s="487"/>
      <c r="X5" s="483"/>
      <c r="Y5" s="486" t="e">
        <f>X5/X4</f>
        <v>#DIV/0!</v>
      </c>
      <c r="Z5" s="487"/>
      <c r="AA5" s="483"/>
      <c r="AB5" s="486" t="e">
        <f>AA5/AA4</f>
        <v>#DIV/0!</v>
      </c>
      <c r="AC5" s="487"/>
      <c r="AD5" s="483"/>
      <c r="AE5" s="486" t="e">
        <f>AD5/AD4</f>
        <v>#DIV/0!</v>
      </c>
      <c r="AF5" s="487"/>
      <c r="AG5" s="483"/>
      <c r="AH5" s="486" t="e">
        <f>AG5/AG4</f>
        <v>#DIV/0!</v>
      </c>
      <c r="AI5" s="487"/>
      <c r="AJ5" s="483"/>
      <c r="AK5" s="486" t="e">
        <f>AJ5/AJ4</f>
        <v>#DIV/0!</v>
      </c>
      <c r="AL5" s="487"/>
      <c r="AM5" s="483"/>
      <c r="AN5" s="484" t="e">
        <f>AM5/AM4</f>
        <v>#DIV/0!</v>
      </c>
    </row>
    <row r="6" spans="1:40" s="477" customFormat="1" ht="24.6" customHeight="1" x14ac:dyDescent="0.25">
      <c r="A6" s="489" t="s">
        <v>7</v>
      </c>
      <c r="B6" s="535">
        <f t="shared" ref="B6:B11" si="6">E6+H6+K6+N6+Q6+T6+W6+Z6+AC6+AF6+AI6+AL6</f>
        <v>0</v>
      </c>
      <c r="C6" s="429">
        <f t="shared" si="0"/>
        <v>0</v>
      </c>
      <c r="D6" s="492" t="e">
        <f>C6/B6</f>
        <v>#DIV/0!</v>
      </c>
      <c r="E6" s="490"/>
      <c r="F6" s="491"/>
      <c r="G6" s="492" t="e">
        <f t="shared" ref="G6:G9" si="7">F6/F5</f>
        <v>#DIV/0!</v>
      </c>
      <c r="H6" s="490"/>
      <c r="I6" s="491"/>
      <c r="J6" s="492" t="e">
        <f t="shared" ref="J6:J9" si="8">I6/I5</f>
        <v>#DIV/0!</v>
      </c>
      <c r="K6" s="490"/>
      <c r="L6" s="491"/>
      <c r="M6" s="492" t="e">
        <f t="shared" ref="M6:M9" si="9">L6/L5</f>
        <v>#DIV/0!</v>
      </c>
      <c r="N6" s="490"/>
      <c r="O6" s="491"/>
      <c r="P6" s="492" t="e">
        <f t="shared" ref="P6:P9" si="10">O6/O5</f>
        <v>#DIV/0!</v>
      </c>
      <c r="Q6" s="490"/>
      <c r="R6" s="491"/>
      <c r="S6" s="492" t="e">
        <f>R6/R5</f>
        <v>#DIV/0!</v>
      </c>
      <c r="T6" s="490"/>
      <c r="U6" s="491"/>
      <c r="V6" s="492" t="e">
        <f t="shared" ref="V6:V9" si="11">U6/U5</f>
        <v>#DIV/0!</v>
      </c>
      <c r="W6" s="490"/>
      <c r="X6" s="491"/>
      <c r="Y6" s="492" t="e">
        <f t="shared" ref="Y6:Y9" si="12">X6/X5</f>
        <v>#DIV/0!</v>
      </c>
      <c r="Z6" s="490"/>
      <c r="AA6" s="491"/>
      <c r="AB6" s="492" t="e">
        <f t="shared" ref="AB6:AB9" si="13">AA6/AA5</f>
        <v>#DIV/0!</v>
      </c>
      <c r="AC6" s="490"/>
      <c r="AD6" s="491"/>
      <c r="AE6" s="492" t="e">
        <f t="shared" ref="AE6:AE9" si="14">AD6/AD5</f>
        <v>#DIV/0!</v>
      </c>
      <c r="AF6" s="490"/>
      <c r="AG6" s="491"/>
      <c r="AH6" s="492" t="e">
        <f t="shared" ref="AH6:AH9" si="15">AG6/AG5</f>
        <v>#DIV/0!</v>
      </c>
      <c r="AI6" s="490"/>
      <c r="AJ6" s="491"/>
      <c r="AK6" s="492" t="e">
        <f t="shared" ref="AK6:AK9" si="16">AJ6/AJ5</f>
        <v>#DIV/0!</v>
      </c>
      <c r="AL6" s="490"/>
      <c r="AM6" s="491"/>
      <c r="AN6" s="492" t="e">
        <f t="shared" ref="AN6:AN9" si="17">AM6/AM5</f>
        <v>#DIV/0!</v>
      </c>
    </row>
    <row r="7" spans="1:40" s="477" customFormat="1" ht="24.6" customHeight="1" x14ac:dyDescent="0.25">
      <c r="A7" s="489" t="s">
        <v>8</v>
      </c>
      <c r="B7" s="535">
        <f t="shared" si="6"/>
        <v>0</v>
      </c>
      <c r="C7" s="429">
        <f t="shared" si="0"/>
        <v>0</v>
      </c>
      <c r="D7" s="492" t="e">
        <f>C7/B7</f>
        <v>#DIV/0!</v>
      </c>
      <c r="E7" s="490"/>
      <c r="F7" s="491"/>
      <c r="G7" s="492" t="e">
        <f t="shared" si="7"/>
        <v>#DIV/0!</v>
      </c>
      <c r="H7" s="490"/>
      <c r="I7" s="491"/>
      <c r="J7" s="492" t="e">
        <f t="shared" si="8"/>
        <v>#DIV/0!</v>
      </c>
      <c r="K7" s="490"/>
      <c r="L7" s="491"/>
      <c r="M7" s="492" t="e">
        <f t="shared" si="9"/>
        <v>#DIV/0!</v>
      </c>
      <c r="N7" s="490"/>
      <c r="O7" s="491"/>
      <c r="P7" s="492" t="e">
        <f t="shared" si="10"/>
        <v>#DIV/0!</v>
      </c>
      <c r="Q7" s="490"/>
      <c r="R7" s="491"/>
      <c r="S7" s="492" t="e">
        <f t="shared" ref="S7:S9" si="18">R7/R6</f>
        <v>#DIV/0!</v>
      </c>
      <c r="T7" s="490"/>
      <c r="U7" s="491"/>
      <c r="V7" s="492" t="e">
        <f t="shared" si="11"/>
        <v>#DIV/0!</v>
      </c>
      <c r="W7" s="490"/>
      <c r="X7" s="491"/>
      <c r="Y7" s="492" t="e">
        <f t="shared" si="12"/>
        <v>#DIV/0!</v>
      </c>
      <c r="Z7" s="490"/>
      <c r="AA7" s="491"/>
      <c r="AB7" s="492" t="e">
        <f t="shared" si="13"/>
        <v>#DIV/0!</v>
      </c>
      <c r="AC7" s="490"/>
      <c r="AD7" s="491"/>
      <c r="AE7" s="492" t="e">
        <f t="shared" si="14"/>
        <v>#DIV/0!</v>
      </c>
      <c r="AF7" s="490"/>
      <c r="AG7" s="491"/>
      <c r="AH7" s="492" t="e">
        <f t="shared" si="15"/>
        <v>#DIV/0!</v>
      </c>
      <c r="AI7" s="490"/>
      <c r="AJ7" s="491"/>
      <c r="AK7" s="492" t="e">
        <f t="shared" si="16"/>
        <v>#DIV/0!</v>
      </c>
      <c r="AL7" s="490"/>
      <c r="AM7" s="491"/>
      <c r="AN7" s="492" t="e">
        <f t="shared" si="17"/>
        <v>#DIV/0!</v>
      </c>
    </row>
    <row r="8" spans="1:40" s="477" customFormat="1" ht="24.6" customHeight="1" x14ac:dyDescent="0.25">
      <c r="A8" s="489" t="s">
        <v>9</v>
      </c>
      <c r="B8" s="535">
        <f t="shared" si="6"/>
        <v>0</v>
      </c>
      <c r="C8" s="429">
        <f t="shared" si="0"/>
        <v>0</v>
      </c>
      <c r="D8" s="492" t="e">
        <f>C8/B8</f>
        <v>#DIV/0!</v>
      </c>
      <c r="E8" s="490"/>
      <c r="F8" s="491"/>
      <c r="G8" s="492" t="e">
        <f t="shared" si="7"/>
        <v>#DIV/0!</v>
      </c>
      <c r="H8" s="490"/>
      <c r="I8" s="491"/>
      <c r="J8" s="492" t="e">
        <f t="shared" si="8"/>
        <v>#DIV/0!</v>
      </c>
      <c r="K8" s="490"/>
      <c r="L8" s="491"/>
      <c r="M8" s="492" t="e">
        <f t="shared" si="9"/>
        <v>#DIV/0!</v>
      </c>
      <c r="N8" s="490"/>
      <c r="O8" s="491"/>
      <c r="P8" s="492" t="e">
        <f t="shared" si="10"/>
        <v>#DIV/0!</v>
      </c>
      <c r="Q8" s="490"/>
      <c r="R8" s="491"/>
      <c r="S8" s="492" t="e">
        <f t="shared" si="18"/>
        <v>#DIV/0!</v>
      </c>
      <c r="T8" s="490"/>
      <c r="U8" s="491"/>
      <c r="V8" s="492" t="e">
        <f t="shared" si="11"/>
        <v>#DIV/0!</v>
      </c>
      <c r="W8" s="490"/>
      <c r="X8" s="491"/>
      <c r="Y8" s="492" t="e">
        <f t="shared" si="12"/>
        <v>#DIV/0!</v>
      </c>
      <c r="Z8" s="490"/>
      <c r="AA8" s="491"/>
      <c r="AB8" s="492" t="e">
        <f t="shared" si="13"/>
        <v>#DIV/0!</v>
      </c>
      <c r="AC8" s="490"/>
      <c r="AD8" s="491"/>
      <c r="AE8" s="492" t="e">
        <f t="shared" si="14"/>
        <v>#DIV/0!</v>
      </c>
      <c r="AF8" s="490"/>
      <c r="AG8" s="491"/>
      <c r="AH8" s="492" t="e">
        <f t="shared" si="15"/>
        <v>#DIV/0!</v>
      </c>
      <c r="AI8" s="490"/>
      <c r="AJ8" s="491"/>
      <c r="AK8" s="492" t="e">
        <f t="shared" si="16"/>
        <v>#DIV/0!</v>
      </c>
      <c r="AL8" s="490"/>
      <c r="AM8" s="491"/>
      <c r="AN8" s="492" t="e">
        <f t="shared" si="17"/>
        <v>#DIV/0!</v>
      </c>
    </row>
    <row r="9" spans="1:40" s="477" customFormat="1" ht="24.6" customHeight="1" x14ac:dyDescent="0.25">
      <c r="A9" s="489" t="s">
        <v>10</v>
      </c>
      <c r="B9" s="535">
        <f t="shared" si="6"/>
        <v>0</v>
      </c>
      <c r="C9" s="429">
        <f t="shared" si="0"/>
        <v>0</v>
      </c>
      <c r="D9" s="492" t="e">
        <f t="shared" ref="D9:D11" si="19">C9/B9</f>
        <v>#DIV/0!</v>
      </c>
      <c r="E9" s="490"/>
      <c r="F9" s="491"/>
      <c r="G9" s="492" t="e">
        <f t="shared" si="7"/>
        <v>#DIV/0!</v>
      </c>
      <c r="H9" s="490"/>
      <c r="I9" s="491"/>
      <c r="J9" s="492" t="e">
        <f t="shared" si="8"/>
        <v>#DIV/0!</v>
      </c>
      <c r="K9" s="490"/>
      <c r="L9" s="491"/>
      <c r="M9" s="492" t="e">
        <f t="shared" si="9"/>
        <v>#DIV/0!</v>
      </c>
      <c r="N9" s="490"/>
      <c r="O9" s="491"/>
      <c r="P9" s="492" t="e">
        <f t="shared" si="10"/>
        <v>#DIV/0!</v>
      </c>
      <c r="Q9" s="490"/>
      <c r="R9" s="491"/>
      <c r="S9" s="492" t="e">
        <f t="shared" si="18"/>
        <v>#DIV/0!</v>
      </c>
      <c r="T9" s="490"/>
      <c r="U9" s="491"/>
      <c r="V9" s="492" t="e">
        <f t="shared" si="11"/>
        <v>#DIV/0!</v>
      </c>
      <c r="W9" s="490"/>
      <c r="X9" s="491"/>
      <c r="Y9" s="492" t="e">
        <f t="shared" si="12"/>
        <v>#DIV/0!</v>
      </c>
      <c r="Z9" s="490"/>
      <c r="AA9" s="491"/>
      <c r="AB9" s="492" t="e">
        <f t="shared" si="13"/>
        <v>#DIV/0!</v>
      </c>
      <c r="AC9" s="490"/>
      <c r="AD9" s="491"/>
      <c r="AE9" s="492" t="e">
        <f t="shared" si="14"/>
        <v>#DIV/0!</v>
      </c>
      <c r="AF9" s="490"/>
      <c r="AG9" s="491"/>
      <c r="AH9" s="492" t="e">
        <f t="shared" si="15"/>
        <v>#DIV/0!</v>
      </c>
      <c r="AI9" s="490"/>
      <c r="AJ9" s="491"/>
      <c r="AK9" s="492" t="e">
        <f t="shared" si="16"/>
        <v>#DIV/0!</v>
      </c>
      <c r="AL9" s="490"/>
      <c r="AM9" s="491"/>
      <c r="AN9" s="492" t="e">
        <f t="shared" si="17"/>
        <v>#DIV/0!</v>
      </c>
    </row>
    <row r="10" spans="1:40" s="477" customFormat="1" ht="24.6" customHeight="1" x14ac:dyDescent="0.25">
      <c r="A10" s="493" t="s">
        <v>11</v>
      </c>
      <c r="B10" s="536">
        <f t="shared" si="6"/>
        <v>0</v>
      </c>
      <c r="C10" s="430">
        <f t="shared" si="0"/>
        <v>0</v>
      </c>
      <c r="D10" s="496" t="e">
        <f t="shared" si="19"/>
        <v>#DIV/0!</v>
      </c>
      <c r="E10" s="494">
        <f>SUM(E6:E9)</f>
        <v>0</v>
      </c>
      <c r="F10" s="495">
        <f>SUM(F6:F9)</f>
        <v>0</v>
      </c>
      <c r="G10" s="496" t="e">
        <f>F10/E10</f>
        <v>#DIV/0!</v>
      </c>
      <c r="H10" s="494">
        <f>SUM(H6:H9)</f>
        <v>0</v>
      </c>
      <c r="I10" s="495">
        <f>SUM(I6:I9)</f>
        <v>0</v>
      </c>
      <c r="J10" s="496" t="e">
        <f>I10/H10</f>
        <v>#DIV/0!</v>
      </c>
      <c r="K10" s="494">
        <f>SUM(K6:K9)</f>
        <v>0</v>
      </c>
      <c r="L10" s="495">
        <f>SUM(L6:L9)</f>
        <v>0</v>
      </c>
      <c r="M10" s="496" t="e">
        <f>L10/K10</f>
        <v>#DIV/0!</v>
      </c>
      <c r="N10" s="494">
        <f>SUM(N6:N9)</f>
        <v>0</v>
      </c>
      <c r="O10" s="495">
        <f>SUM(O6:O9)</f>
        <v>0</v>
      </c>
      <c r="P10" s="496" t="e">
        <f>O10/N10</f>
        <v>#DIV/0!</v>
      </c>
      <c r="Q10" s="494">
        <f>SUM(Q6:Q9)</f>
        <v>0</v>
      </c>
      <c r="R10" s="495">
        <f>SUM(R6:R9)</f>
        <v>0</v>
      </c>
      <c r="S10" s="496" t="e">
        <f>R10/Q10</f>
        <v>#DIV/0!</v>
      </c>
      <c r="T10" s="494">
        <f>SUM(T6:T9)</f>
        <v>0</v>
      </c>
      <c r="U10" s="495">
        <f>SUM(U6:U9)</f>
        <v>0</v>
      </c>
      <c r="V10" s="496" t="e">
        <f>U10/T10</f>
        <v>#DIV/0!</v>
      </c>
      <c r="W10" s="494">
        <f>SUM(W6:W9)</f>
        <v>0</v>
      </c>
      <c r="X10" s="495">
        <f>SUM(X6:X9)</f>
        <v>0</v>
      </c>
      <c r="Y10" s="496" t="e">
        <f>X10/W10</f>
        <v>#DIV/0!</v>
      </c>
      <c r="Z10" s="494">
        <f>SUM(Z6:Z9)</f>
        <v>0</v>
      </c>
      <c r="AA10" s="495">
        <f>SUM(AA6:AA9)</f>
        <v>0</v>
      </c>
      <c r="AB10" s="496" t="e">
        <f>AA10/Z10</f>
        <v>#DIV/0!</v>
      </c>
      <c r="AC10" s="494">
        <f>SUM(AC6:AC9)</f>
        <v>0</v>
      </c>
      <c r="AD10" s="495">
        <f>SUM(AD6:AD9)</f>
        <v>0</v>
      </c>
      <c r="AE10" s="496" t="e">
        <f>AD10/AC10</f>
        <v>#DIV/0!</v>
      </c>
      <c r="AF10" s="494">
        <f>SUM(AF6:AF9)</f>
        <v>0</v>
      </c>
      <c r="AG10" s="495">
        <f>SUM(AG6:AG9)</f>
        <v>0</v>
      </c>
      <c r="AH10" s="496" t="e">
        <f>AG10/AF10</f>
        <v>#DIV/0!</v>
      </c>
      <c r="AI10" s="494">
        <f>SUM(AI6:AI9)</f>
        <v>0</v>
      </c>
      <c r="AJ10" s="495">
        <f>SUM(AJ6:AJ9)</f>
        <v>0</v>
      </c>
      <c r="AK10" s="496" t="e">
        <f>AJ10/AI10</f>
        <v>#DIV/0!</v>
      </c>
      <c r="AL10" s="494">
        <f>SUM(AL6:AL9)</f>
        <v>0</v>
      </c>
      <c r="AM10" s="495">
        <f>SUM(AM6:AM9)</f>
        <v>0</v>
      </c>
      <c r="AN10" s="496" t="e">
        <f>AM10/AL10</f>
        <v>#DIV/0!</v>
      </c>
    </row>
    <row r="11" spans="1:40" s="488" customFormat="1" ht="24.6" customHeight="1" thickBot="1" x14ac:dyDescent="0.3">
      <c r="A11" s="497" t="s">
        <v>12</v>
      </c>
      <c r="B11" s="431">
        <f t="shared" si="6"/>
        <v>0</v>
      </c>
      <c r="C11" s="432">
        <f t="shared" si="0"/>
        <v>0</v>
      </c>
      <c r="D11" s="500" t="e">
        <f t="shared" si="19"/>
        <v>#DIV/0!</v>
      </c>
      <c r="E11" s="498"/>
      <c r="F11" s="499"/>
      <c r="G11" s="500" t="e">
        <f>F11/E11</f>
        <v>#DIV/0!</v>
      </c>
      <c r="H11" s="498"/>
      <c r="I11" s="499"/>
      <c r="J11" s="500" t="e">
        <f>I11/H11</f>
        <v>#DIV/0!</v>
      </c>
      <c r="K11" s="498"/>
      <c r="L11" s="499"/>
      <c r="M11" s="500" t="e">
        <f>L11/K11</f>
        <v>#DIV/0!</v>
      </c>
      <c r="N11" s="498"/>
      <c r="O11" s="499"/>
      <c r="P11" s="500" t="e">
        <f>O11/N11</f>
        <v>#DIV/0!</v>
      </c>
      <c r="Q11" s="498"/>
      <c r="R11" s="499"/>
      <c r="S11" s="500" t="e">
        <f>R11/Q11</f>
        <v>#DIV/0!</v>
      </c>
      <c r="T11" s="498"/>
      <c r="U11" s="499"/>
      <c r="V11" s="500" t="e">
        <f>U11/T11</f>
        <v>#DIV/0!</v>
      </c>
      <c r="W11" s="498"/>
      <c r="X11" s="499"/>
      <c r="Y11" s="500" t="e">
        <f>X11/W11</f>
        <v>#DIV/0!</v>
      </c>
      <c r="Z11" s="498"/>
      <c r="AA11" s="499"/>
      <c r="AB11" s="500" t="e">
        <f>AA11/Z11</f>
        <v>#DIV/0!</v>
      </c>
      <c r="AC11" s="498"/>
      <c r="AD11" s="499"/>
      <c r="AE11" s="500" t="e">
        <f>AD11/AC11</f>
        <v>#DIV/0!</v>
      </c>
      <c r="AF11" s="498"/>
      <c r="AG11" s="499"/>
      <c r="AH11" s="500" t="e">
        <f>AG11/AF11</f>
        <v>#DIV/0!</v>
      </c>
      <c r="AI11" s="498"/>
      <c r="AJ11" s="499"/>
      <c r="AK11" s="500" t="e">
        <f>AJ11/AI11</f>
        <v>#DIV/0!</v>
      </c>
      <c r="AL11" s="498"/>
      <c r="AM11" s="499"/>
      <c r="AN11" s="500" t="e">
        <f>AM11/AL11</f>
        <v>#DIV/0!</v>
      </c>
    </row>
    <row r="12" spans="1:40" x14ac:dyDescent="0.2">
      <c r="K12" s="511"/>
      <c r="L12" s="511"/>
      <c r="M12" s="512"/>
    </row>
    <row r="13" spans="1:40" x14ac:dyDescent="0.2">
      <c r="B13" s="513"/>
      <c r="E13" s="514">
        <f>+E11</f>
        <v>0</v>
      </c>
      <c r="F13" s="514">
        <f>+F11</f>
        <v>0</v>
      </c>
      <c r="G13" s="500" t="e">
        <f>F13/E13</f>
        <v>#DIV/0!</v>
      </c>
      <c r="H13" s="514">
        <f>+H11+E13</f>
        <v>0</v>
      </c>
      <c r="I13" s="514">
        <f>+I11+F13</f>
        <v>0</v>
      </c>
      <c r="J13" s="500" t="e">
        <f t="shared" ref="J13" si="20">I13/H13</f>
        <v>#DIV/0!</v>
      </c>
      <c r="K13" s="514">
        <f>+K11+H13</f>
        <v>0</v>
      </c>
      <c r="L13" s="514">
        <f>+L11+I13</f>
        <v>0</v>
      </c>
      <c r="M13" s="500" t="e">
        <f t="shared" ref="M13" si="21">L13/K13</f>
        <v>#DIV/0!</v>
      </c>
      <c r="N13" s="514">
        <f>+N11+K13</f>
        <v>0</v>
      </c>
      <c r="O13" s="514">
        <f>+O11+L13</f>
        <v>0</v>
      </c>
      <c r="P13" s="500" t="e">
        <f>O13/N13</f>
        <v>#DIV/0!</v>
      </c>
      <c r="Q13" s="514">
        <f>+Q11+N13</f>
        <v>0</v>
      </c>
      <c r="R13" s="514">
        <f>+R11+O13</f>
        <v>0</v>
      </c>
      <c r="S13" s="500" t="e">
        <f t="shared" ref="S13" si="22">R13/Q13</f>
        <v>#DIV/0!</v>
      </c>
      <c r="T13" s="514">
        <f>+T11+Q13</f>
        <v>0</v>
      </c>
      <c r="U13" s="514">
        <f>+U11+R13</f>
        <v>0</v>
      </c>
      <c r="V13" s="500" t="e">
        <f t="shared" ref="V13" si="23">U13/T13</f>
        <v>#DIV/0!</v>
      </c>
      <c r="W13" s="514">
        <f>+W11+T13</f>
        <v>0</v>
      </c>
      <c r="X13" s="514">
        <f>+X11+U13</f>
        <v>0</v>
      </c>
      <c r="Y13" s="500" t="e">
        <f t="shared" ref="Y13" si="24">X13/W13</f>
        <v>#DIV/0!</v>
      </c>
      <c r="Z13" s="514">
        <f>+Z11+W13</f>
        <v>0</v>
      </c>
      <c r="AA13" s="514">
        <f>+AA11+X13</f>
        <v>0</v>
      </c>
      <c r="AB13" s="500" t="e">
        <f t="shared" ref="AB13" si="25">AA13/Z13</f>
        <v>#DIV/0!</v>
      </c>
      <c r="AC13" s="514">
        <f>+AC11+Z13</f>
        <v>0</v>
      </c>
      <c r="AD13" s="514">
        <f>+AD11+AA13</f>
        <v>0</v>
      </c>
      <c r="AE13" s="500" t="e">
        <f t="shared" ref="AE13" si="26">AD13/AC13</f>
        <v>#DIV/0!</v>
      </c>
      <c r="AF13" s="514">
        <f>+AF11+AC13</f>
        <v>0</v>
      </c>
      <c r="AG13" s="514">
        <f>+AG11+AD13</f>
        <v>0</v>
      </c>
      <c r="AH13" s="500" t="e">
        <f t="shared" ref="AH13" si="27">AG13/AF13</f>
        <v>#DIV/0!</v>
      </c>
      <c r="AI13" s="514">
        <f>+AI11+AF13</f>
        <v>0</v>
      </c>
      <c r="AJ13" s="514">
        <f>+AJ11+AG13</f>
        <v>0</v>
      </c>
      <c r="AK13" s="500" t="e">
        <f t="shared" ref="AK13" si="28">AJ13/AI13</f>
        <v>#DIV/0!</v>
      </c>
    </row>
    <row r="14" spans="1:40" x14ac:dyDescent="0.2">
      <c r="A14" s="515"/>
      <c r="B14" s="516"/>
      <c r="C14" s="517"/>
      <c r="E14" s="518"/>
      <c r="F14" s="518"/>
      <c r="H14" s="518"/>
      <c r="I14" s="518"/>
      <c r="L14" s="519"/>
      <c r="M14" s="520"/>
      <c r="N14" s="519"/>
      <c r="O14" s="519"/>
      <c r="P14" s="520"/>
      <c r="Q14" s="519"/>
      <c r="R14" s="519"/>
      <c r="S14" s="520"/>
      <c r="T14" s="521"/>
      <c r="U14" s="521"/>
      <c r="V14" s="522"/>
      <c r="AC14" s="511"/>
      <c r="AD14" s="511"/>
      <c r="AE14" s="523"/>
      <c r="AF14" s="511"/>
      <c r="AG14" s="511"/>
      <c r="AH14" s="523"/>
      <c r="AI14" s="511"/>
      <c r="AJ14" s="511"/>
      <c r="AK14" s="523"/>
      <c r="AL14" s="511"/>
      <c r="AM14" s="511"/>
      <c r="AN14" s="523"/>
    </row>
    <row r="15" spans="1:40" x14ac:dyDescent="0.2">
      <c r="A15" s="524"/>
      <c r="B15" s="511"/>
      <c r="C15" s="518"/>
      <c r="D15" s="525"/>
      <c r="L15" s="519"/>
      <c r="M15" s="520"/>
      <c r="N15" s="519"/>
      <c r="O15" s="519"/>
      <c r="P15" s="520"/>
      <c r="Q15" s="519"/>
      <c r="R15" s="519"/>
      <c r="S15" s="523"/>
      <c r="AI15" s="511"/>
      <c r="AJ15" s="511"/>
      <c r="AK15" s="523"/>
      <c r="AL15" s="511"/>
      <c r="AM15" s="511"/>
      <c r="AN15" s="523"/>
    </row>
    <row r="16" spans="1:40" x14ac:dyDescent="0.2">
      <c r="B16" s="511"/>
      <c r="H16" s="518"/>
      <c r="I16" s="518"/>
      <c r="L16" s="526"/>
      <c r="M16" s="527"/>
      <c r="N16" s="526"/>
      <c r="O16" s="526"/>
      <c r="P16" s="527"/>
      <c r="Q16" s="526"/>
      <c r="R16" s="526"/>
      <c r="AI16" s="511"/>
      <c r="AJ16" s="511"/>
      <c r="AK16" s="523"/>
      <c r="AL16" s="511"/>
      <c r="AM16" s="511"/>
      <c r="AN16" s="523"/>
    </row>
    <row r="17" spans="1:40" x14ac:dyDescent="0.2">
      <c r="B17" s="511"/>
      <c r="C17" s="511"/>
      <c r="D17" s="528"/>
      <c r="L17" s="519"/>
      <c r="M17" s="520"/>
      <c r="N17" s="519"/>
      <c r="O17" s="519"/>
      <c r="P17" s="520"/>
      <c r="Q17" s="519"/>
      <c r="R17" s="519"/>
    </row>
    <row r="18" spans="1:40" x14ac:dyDescent="0.2">
      <c r="A18" s="524"/>
      <c r="B18" s="511"/>
      <c r="C18" s="519"/>
      <c r="D18" s="520"/>
      <c r="AI18" s="511"/>
      <c r="AJ18" s="511"/>
      <c r="AK18" s="523"/>
      <c r="AL18" s="511"/>
      <c r="AM18" s="511"/>
      <c r="AN18" s="523"/>
    </row>
    <row r="19" spans="1:40" x14ac:dyDescent="0.2">
      <c r="A19" s="515"/>
      <c r="B19" s="511"/>
      <c r="C19" s="519"/>
      <c r="D19" s="520"/>
      <c r="E19" s="515"/>
      <c r="Q19" s="511"/>
      <c r="R19" s="511"/>
      <c r="S19" s="529"/>
    </row>
    <row r="22" spans="1:40" x14ac:dyDescent="0.2">
      <c r="E22" s="514"/>
      <c r="F22" s="514"/>
      <c r="I22" s="509" t="s">
        <v>15</v>
      </c>
    </row>
    <row r="23" spans="1:40" x14ac:dyDescent="0.2">
      <c r="E23" s="514"/>
      <c r="F23" s="514"/>
    </row>
    <row r="24" spans="1:40" x14ac:dyDescent="0.2">
      <c r="E24" s="514"/>
      <c r="F24" s="514"/>
    </row>
  </sheetData>
  <mergeCells count="14">
    <mergeCell ref="AI1:AK1"/>
    <mergeCell ref="AL1:AN1"/>
    <mergeCell ref="Q1:S1"/>
    <mergeCell ref="T1:V1"/>
    <mergeCell ref="W1:Y1"/>
    <mergeCell ref="Z1:AB1"/>
    <mergeCell ref="AC1:AE1"/>
    <mergeCell ref="AF1:AH1"/>
    <mergeCell ref="N1:P1"/>
    <mergeCell ref="A1:A2"/>
    <mergeCell ref="B1:D1"/>
    <mergeCell ref="E1:G1"/>
    <mergeCell ref="H1:J1"/>
    <mergeCell ref="K1:M1"/>
  </mergeCells>
  <conditionalFormatting sqref="D3">
    <cfRule type="dataBar" priority="16">
      <dataBar>
        <cfvo type="min"/>
        <cfvo type="percent" val="100"/>
        <color rgb="FFFF555A"/>
      </dataBar>
      <extLst>
        <ext xmlns:x14="http://schemas.microsoft.com/office/spreadsheetml/2009/9/main" uri="{B025F937-C7B1-47D3-B67F-A62EFF666E3E}">
          <x14:id>{4134FB09-0865-417B-908B-4A606B366BA9}</x14:id>
        </ext>
      </extLst>
    </cfRule>
  </conditionalFormatting>
  <conditionalFormatting sqref="D3:D5 D10:D11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{0A9B27BC-8706-444D-8DFF-16326483A7EB}</x14:id>
        </ext>
      </extLst>
    </cfRule>
  </conditionalFormatting>
  <conditionalFormatting sqref="G3:G5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{CFB6CE9A-6329-41EC-BEC3-9DA818971966}</x14:id>
        </ext>
      </extLst>
    </cfRule>
  </conditionalFormatting>
  <conditionalFormatting sqref="G10:G11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{8A62BDDB-F6CE-4244-8D1E-073562318A45}</x14:id>
        </ext>
      </extLst>
    </cfRule>
  </conditionalFormatting>
  <conditionalFormatting sqref="G1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{048DB70A-25BB-4083-95E0-D53CB6BEA583}</x14:id>
        </ext>
      </extLst>
    </cfRule>
  </conditionalFormatting>
  <conditionalFormatting sqref="J3:J5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{DD2EDCFB-BB1D-4F4C-AE60-FEEBBE8AF8C2}</x14:id>
        </ext>
      </extLst>
    </cfRule>
  </conditionalFormatting>
  <conditionalFormatting sqref="J10:J1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{EB8F59FC-4152-4376-A891-FE935EDD2D15}</x14:id>
        </ext>
      </extLst>
    </cfRule>
  </conditionalFormatting>
  <conditionalFormatting sqref="J13 M13 P13 S13 V13 Y13 AB13 AE13 AH13 AK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{CA90FCB7-7593-4D22-9264-C79EC71723CA}</x14:id>
        </ext>
      </extLst>
    </cfRule>
  </conditionalFormatting>
  <conditionalFormatting sqref="M3:M5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{89E03444-BB8A-4EFE-9617-A2C8E068062D}</x14:id>
        </ext>
      </extLst>
    </cfRule>
  </conditionalFormatting>
  <conditionalFormatting sqref="M10:M1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{7008C653-0732-4449-9A70-4409E72828D2}</x14:id>
        </ext>
      </extLst>
    </cfRule>
  </conditionalFormatting>
  <conditionalFormatting sqref="M12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{81867D04-6403-4871-BBCB-6C0731A87AE6}</x14:id>
        </ext>
      </extLst>
    </cfRule>
  </conditionalFormatting>
  <conditionalFormatting sqref="P3:P5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{7602EE5D-0457-4682-8B7A-84E114956399}</x14:id>
        </ext>
      </extLst>
    </cfRule>
  </conditionalFormatting>
  <conditionalFormatting sqref="P10:P11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{E9799694-B3B9-4130-9EE9-52A9DA175CD8}</x14:id>
        </ext>
      </extLst>
    </cfRule>
  </conditionalFormatting>
  <conditionalFormatting sqref="S3:S5 V3:V5 Y3:Y4">
    <cfRule type="dataBar" priority="23">
      <dataBar>
        <cfvo type="min"/>
        <cfvo type="percent" val="100"/>
        <color rgb="FF63C384"/>
      </dataBar>
      <extLst>
        <ext xmlns:x14="http://schemas.microsoft.com/office/spreadsheetml/2009/9/main" uri="{B025F937-C7B1-47D3-B67F-A62EFF666E3E}">
          <x14:id>{BE85FF19-B26D-4959-8622-8F431E769E84}</x14:id>
        </ext>
      </extLst>
    </cfRule>
  </conditionalFormatting>
  <conditionalFormatting sqref="S10:S1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{48FB7961-6D64-4E01-AB7A-0F1E18CAA585}</x14:id>
        </ext>
      </extLst>
    </cfRule>
  </conditionalFormatting>
  <conditionalFormatting sqref="V10:V11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{9BCAFC14-93BE-4D26-9171-8579FC410187}</x14:id>
        </ext>
      </extLst>
    </cfRule>
  </conditionalFormatting>
  <conditionalFormatting sqref="Y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{0E9BBE1D-44C6-4B3B-8CEB-5DDAF4F45D99}</x14:id>
        </ext>
      </extLst>
    </cfRule>
  </conditionalFormatting>
  <conditionalFormatting sqref="Y10:Y11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{8EB420B8-78A9-406E-AC4C-1BA3250ED676}</x14:id>
        </ext>
      </extLst>
    </cfRule>
  </conditionalFormatting>
  <conditionalFormatting sqref="AB3:AB4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{5CBFAC1F-AEA4-484A-A194-7AD71315B60F}</x14:id>
        </ext>
      </extLst>
    </cfRule>
  </conditionalFormatting>
  <conditionalFormatting sqref="AB5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{3593183C-5238-46B8-A25F-386916B53D42}</x14:id>
        </ext>
      </extLst>
    </cfRule>
  </conditionalFormatting>
  <conditionalFormatting sqref="AB10:AB1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{40F0DCEF-FB71-487E-BA62-4D4E0BEF2D02}</x14:id>
        </ext>
      </extLst>
    </cfRule>
  </conditionalFormatting>
  <conditionalFormatting sqref="AE3:AE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{A8EC8C9C-7814-4C24-B522-5DD37A8291D6}</x14:id>
        </ext>
      </extLst>
    </cfRule>
  </conditionalFormatting>
  <conditionalFormatting sqref="AE5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{712FBC5A-661C-41F4-8A69-2D982C22BDE1}</x14:id>
        </ext>
      </extLst>
    </cfRule>
  </conditionalFormatting>
  <conditionalFormatting sqref="AE10:AE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{6B49AE38-6214-4489-99C8-4F8ED0744409}</x14:id>
        </ext>
      </extLst>
    </cfRule>
  </conditionalFormatting>
  <conditionalFormatting sqref="AH3:AH4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{331FA0AF-0AA3-40BD-A2EA-C9692515489A}</x14:id>
        </ext>
      </extLst>
    </cfRule>
  </conditionalFormatting>
  <conditionalFormatting sqref="AH5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{020771D2-C3AA-435A-B2C6-D936B2A032C0}</x14:id>
        </ext>
      </extLst>
    </cfRule>
  </conditionalFormatting>
  <conditionalFormatting sqref="AH10:AH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{CF8DE962-84DF-4617-B0A2-C52464C34775}</x14:id>
        </ext>
      </extLst>
    </cfRule>
  </conditionalFormatting>
  <conditionalFormatting sqref="AK3:AK4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{84CBE4ED-DD10-47BE-8434-FB9C00A55FB2}</x14:id>
        </ext>
      </extLst>
    </cfRule>
  </conditionalFormatting>
  <conditionalFormatting sqref="AK5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{8689114F-5D1D-4576-9B17-AC621B817335}</x14:id>
        </ext>
      </extLst>
    </cfRule>
  </conditionalFormatting>
  <conditionalFormatting sqref="AK10:AK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{80470E49-C51E-4766-95E9-0611C509E796}</x14:id>
        </ext>
      </extLst>
    </cfRule>
  </conditionalFormatting>
  <conditionalFormatting sqref="AN3:AN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{CF5FC47F-8585-4474-B5DB-72B397BB4676}</x14:id>
        </ext>
      </extLst>
    </cfRule>
  </conditionalFormatting>
  <conditionalFormatting sqref="AN5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{994131ED-D9FC-49E2-9B82-EE649B45F450}</x14:id>
        </ext>
      </extLst>
    </cfRule>
  </conditionalFormatting>
  <conditionalFormatting sqref="AN10:AN1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{3991B361-13B7-4351-AE5E-83D14FF4C92C}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34FB09-0865-417B-908B-4A606B366BA9}">
            <x14:dataBar minLength="0" maxLength="100" border="1" negativeBarBorderColorSameAsPositive="0">
              <x14:cfvo type="autoMin"/>
              <x14:cfvo type="percent">
                <xm:f>100</xm:f>
              </x14:cfvo>
              <x14:borderColor rgb="FFFF555A"/>
              <x14:negativeFillColor rgb="FFFF0000"/>
              <x14:negativeBorderColor rgb="FFFF0000"/>
              <x14:axisColor rgb="FF000000"/>
            </x14:dataBar>
          </x14:cfRule>
          <xm:sqref>D3</xm:sqref>
        </x14:conditionalFormatting>
        <x14:conditionalFormatting xmlns:xm="http://schemas.microsoft.com/office/excel/2006/main">
          <x14:cfRule type="dataBar" id="{0A9B27BC-8706-444D-8DFF-16326483A7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D3:D5 D10:D11</xm:sqref>
        </x14:conditionalFormatting>
        <x14:conditionalFormatting xmlns:xm="http://schemas.microsoft.com/office/excel/2006/main">
          <x14:cfRule type="dataBar" id="{CFB6CE9A-6329-41EC-BEC3-9DA8189719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G3:G5</xm:sqref>
        </x14:conditionalFormatting>
        <x14:conditionalFormatting xmlns:xm="http://schemas.microsoft.com/office/excel/2006/main">
          <x14:cfRule type="dataBar" id="{8A62BDDB-F6CE-4244-8D1E-073562318A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G10:G11</xm:sqref>
        </x14:conditionalFormatting>
        <x14:conditionalFormatting xmlns:xm="http://schemas.microsoft.com/office/excel/2006/main">
          <x14:cfRule type="dataBar" id="{048DB70A-25BB-4083-95E0-D53CB6BEA5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G13</xm:sqref>
        </x14:conditionalFormatting>
        <x14:conditionalFormatting xmlns:xm="http://schemas.microsoft.com/office/excel/2006/main">
          <x14:cfRule type="dataBar" id="{DD2EDCFB-BB1D-4F4C-AE60-FEEBBE8AF8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J3:J5</xm:sqref>
        </x14:conditionalFormatting>
        <x14:conditionalFormatting xmlns:xm="http://schemas.microsoft.com/office/excel/2006/main">
          <x14:cfRule type="dataBar" id="{EB8F59FC-4152-4376-A891-FE935EDD2D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J10:J11</xm:sqref>
        </x14:conditionalFormatting>
        <x14:conditionalFormatting xmlns:xm="http://schemas.microsoft.com/office/excel/2006/main">
          <x14:cfRule type="dataBar" id="{CA90FCB7-7593-4D22-9264-C79EC71723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 M13 P13 S13 V13 Y13 AB13 AE13 AH13 AK13</xm:sqref>
        </x14:conditionalFormatting>
        <x14:conditionalFormatting xmlns:xm="http://schemas.microsoft.com/office/excel/2006/main">
          <x14:cfRule type="dataBar" id="{89E03444-BB8A-4EFE-9617-A2C8E06806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M3:M5</xm:sqref>
        </x14:conditionalFormatting>
        <x14:conditionalFormatting xmlns:xm="http://schemas.microsoft.com/office/excel/2006/main">
          <x14:cfRule type="dataBar" id="{7008C653-0732-4449-9A70-4409E72828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M10:M11</xm:sqref>
        </x14:conditionalFormatting>
        <x14:conditionalFormatting xmlns:xm="http://schemas.microsoft.com/office/excel/2006/main">
          <x14:cfRule type="dataBar" id="{81867D04-6403-4871-BBCB-6C0731A87A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7602EE5D-0457-4682-8B7A-84E1149563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P3:P5</xm:sqref>
        </x14:conditionalFormatting>
        <x14:conditionalFormatting xmlns:xm="http://schemas.microsoft.com/office/excel/2006/main">
          <x14:cfRule type="dataBar" id="{E9799694-B3B9-4130-9EE9-52A9DA175C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P10:P11</xm:sqref>
        </x14:conditionalFormatting>
        <x14:conditionalFormatting xmlns:xm="http://schemas.microsoft.com/office/excel/2006/main">
          <x14:cfRule type="dataBar" id="{BE85FF19-B26D-4959-8622-8F431E769E84}">
            <x14:dataBar minLength="0" maxLength="100" gradient="0">
              <x14:cfvo type="autoMin"/>
              <x14:cfvo type="percent">
                <xm:f>100</xm:f>
              </x14:cfvo>
              <x14:negativeFillColor rgb="FFFF0000"/>
              <x14:axisColor rgb="FF000000"/>
            </x14:dataBar>
          </x14:cfRule>
          <xm:sqref>S3:S5 V3:V5 Y3:Y4</xm:sqref>
        </x14:conditionalFormatting>
        <x14:conditionalFormatting xmlns:xm="http://schemas.microsoft.com/office/excel/2006/main">
          <x14:cfRule type="dataBar" id="{48FB7961-6D64-4E01-AB7A-0F1E18CAA5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S10:S11</xm:sqref>
        </x14:conditionalFormatting>
        <x14:conditionalFormatting xmlns:xm="http://schemas.microsoft.com/office/excel/2006/main">
          <x14:cfRule type="dataBar" id="{9BCAFC14-93BE-4D26-9171-8579FC4101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V10:V11</xm:sqref>
        </x14:conditionalFormatting>
        <x14:conditionalFormatting xmlns:xm="http://schemas.microsoft.com/office/excel/2006/main">
          <x14:cfRule type="dataBar" id="{0E9BBE1D-44C6-4B3B-8CEB-5DDAF4F45D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Y5</xm:sqref>
        </x14:conditionalFormatting>
        <x14:conditionalFormatting xmlns:xm="http://schemas.microsoft.com/office/excel/2006/main">
          <x14:cfRule type="dataBar" id="{8EB420B8-78A9-406E-AC4C-1BA3250ED6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Y10:Y11</xm:sqref>
        </x14:conditionalFormatting>
        <x14:conditionalFormatting xmlns:xm="http://schemas.microsoft.com/office/excel/2006/main">
          <x14:cfRule type="dataBar" id="{5CBFAC1F-AEA4-484A-A194-7AD71315B6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AB3:AB4</xm:sqref>
        </x14:conditionalFormatting>
        <x14:conditionalFormatting xmlns:xm="http://schemas.microsoft.com/office/excel/2006/main">
          <x14:cfRule type="dataBar" id="{3593183C-5238-46B8-A25F-386916B53D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</xm:sqref>
        </x14:conditionalFormatting>
        <x14:conditionalFormatting xmlns:xm="http://schemas.microsoft.com/office/excel/2006/main">
          <x14:cfRule type="dataBar" id="{40F0DCEF-FB71-487E-BA62-4D4E0BEF2D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AB10:AB11</xm:sqref>
        </x14:conditionalFormatting>
        <x14:conditionalFormatting xmlns:xm="http://schemas.microsoft.com/office/excel/2006/main">
          <x14:cfRule type="dataBar" id="{A8EC8C9C-7814-4C24-B522-5DD37A8291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AE3:AE4</xm:sqref>
        </x14:conditionalFormatting>
        <x14:conditionalFormatting xmlns:xm="http://schemas.microsoft.com/office/excel/2006/main">
          <x14:cfRule type="dataBar" id="{712FBC5A-661C-41F4-8A69-2D982C22BD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AE5</xm:sqref>
        </x14:conditionalFormatting>
        <x14:conditionalFormatting xmlns:xm="http://schemas.microsoft.com/office/excel/2006/main">
          <x14:cfRule type="dataBar" id="{6B49AE38-6214-4489-99C8-4F8ED07444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AE10:AE11</xm:sqref>
        </x14:conditionalFormatting>
        <x14:conditionalFormatting xmlns:xm="http://schemas.microsoft.com/office/excel/2006/main">
          <x14:cfRule type="dataBar" id="{331FA0AF-0AA3-40BD-A2EA-C969251548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AH3:AH4</xm:sqref>
        </x14:conditionalFormatting>
        <x14:conditionalFormatting xmlns:xm="http://schemas.microsoft.com/office/excel/2006/main">
          <x14:cfRule type="dataBar" id="{020771D2-C3AA-435A-B2C6-D936B2A032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AH5</xm:sqref>
        </x14:conditionalFormatting>
        <x14:conditionalFormatting xmlns:xm="http://schemas.microsoft.com/office/excel/2006/main">
          <x14:cfRule type="dataBar" id="{CF8DE962-84DF-4617-B0A2-C52464C347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AH10:AH11</xm:sqref>
        </x14:conditionalFormatting>
        <x14:conditionalFormatting xmlns:xm="http://schemas.microsoft.com/office/excel/2006/main">
          <x14:cfRule type="dataBar" id="{84CBE4ED-DD10-47BE-8434-FB9C00A55F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AK3:AK4</xm:sqref>
        </x14:conditionalFormatting>
        <x14:conditionalFormatting xmlns:xm="http://schemas.microsoft.com/office/excel/2006/main">
          <x14:cfRule type="dataBar" id="{8689114F-5D1D-4576-9B17-AC621B8173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</xm:sqref>
        </x14:conditionalFormatting>
        <x14:conditionalFormatting xmlns:xm="http://schemas.microsoft.com/office/excel/2006/main">
          <x14:cfRule type="dataBar" id="{80470E49-C51E-4766-95E9-0611C509E7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AK10:AK11</xm:sqref>
        </x14:conditionalFormatting>
        <x14:conditionalFormatting xmlns:xm="http://schemas.microsoft.com/office/excel/2006/main">
          <x14:cfRule type="dataBar" id="{CF5FC47F-8585-4474-B5DB-72B397BB46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AN3:AN4</xm:sqref>
        </x14:conditionalFormatting>
        <x14:conditionalFormatting xmlns:xm="http://schemas.microsoft.com/office/excel/2006/main">
          <x14:cfRule type="dataBar" id="{994131ED-D9FC-49E2-9B82-EE649B45F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AN5</xm:sqref>
        </x14:conditionalFormatting>
        <x14:conditionalFormatting xmlns:xm="http://schemas.microsoft.com/office/excel/2006/main">
          <x14:cfRule type="dataBar" id="{3991B361-13B7-4351-AE5E-83D14FF4C9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AN10:AN11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N24"/>
  <sheetViews>
    <sheetView showGridLines="0" zoomScale="88" zoomScaleNormal="88" workbookViewId="0">
      <pane xSplit="4" ySplit="2" topLeftCell="AC3" activePane="bottomRight" state="frozen"/>
      <selection pane="topRight" activeCell="F1" sqref="F1"/>
      <selection pane="bottomLeft" activeCell="A4" sqref="A4"/>
      <selection pane="bottomRight" sqref="A1:XFD1048576"/>
    </sheetView>
  </sheetViews>
  <sheetFormatPr baseColWidth="10" defaultColWidth="10.85546875" defaultRowHeight="12.75" x14ac:dyDescent="0.2"/>
  <cols>
    <col min="1" max="1" width="33" style="507" customWidth="1"/>
    <col min="2" max="2" width="27.42578125" style="508" bestFit="1" customWidth="1"/>
    <col min="3" max="3" width="16.140625" style="509" bestFit="1" customWidth="1"/>
    <col min="4" max="4" width="7.42578125" style="510" bestFit="1" customWidth="1"/>
    <col min="5" max="5" width="14.140625" style="508" customWidth="1"/>
    <col min="6" max="6" width="13.42578125" style="509" bestFit="1" customWidth="1"/>
    <col min="7" max="7" width="7.28515625" style="510" bestFit="1" customWidth="1"/>
    <col min="8" max="8" width="13.28515625" style="508" bestFit="1" customWidth="1"/>
    <col min="9" max="9" width="15" style="509" bestFit="1" customWidth="1"/>
    <col min="10" max="10" width="10.42578125" style="510" bestFit="1" customWidth="1"/>
    <col min="11" max="11" width="13.42578125" style="508" bestFit="1" customWidth="1"/>
    <col min="12" max="12" width="13.85546875" style="509" bestFit="1" customWidth="1"/>
    <col min="13" max="13" width="10.42578125" style="510" bestFit="1" customWidth="1"/>
    <col min="14" max="14" width="15.42578125" style="508" bestFit="1" customWidth="1"/>
    <col min="15" max="15" width="16.140625" style="509" bestFit="1" customWidth="1"/>
    <col min="16" max="16" width="13.42578125" style="510" customWidth="1"/>
    <col min="17" max="17" width="14.85546875" style="508" bestFit="1" customWidth="1"/>
    <col min="18" max="18" width="14.42578125" style="509" bestFit="1" customWidth="1"/>
    <col min="19" max="19" width="12.42578125" style="510" bestFit="1" customWidth="1"/>
    <col min="20" max="20" width="15" style="508" bestFit="1" customWidth="1"/>
    <col min="21" max="21" width="13.28515625" style="509" bestFit="1" customWidth="1"/>
    <col min="22" max="22" width="11.42578125" style="510" bestFit="1" customWidth="1"/>
    <col min="23" max="23" width="14.85546875" style="508" bestFit="1" customWidth="1"/>
    <col min="24" max="24" width="13.28515625" style="509" bestFit="1" customWidth="1"/>
    <col min="25" max="25" width="7.28515625" style="510" customWidth="1"/>
    <col min="26" max="26" width="15.42578125" style="508" customWidth="1"/>
    <col min="27" max="27" width="13.42578125" style="509" bestFit="1" customWidth="1"/>
    <col min="28" max="28" width="7.28515625" style="510" customWidth="1"/>
    <col min="29" max="29" width="15" style="508" bestFit="1" customWidth="1"/>
    <col min="30" max="30" width="15" style="509" bestFit="1" customWidth="1"/>
    <col min="31" max="31" width="9" style="510" bestFit="1" customWidth="1"/>
    <col min="32" max="32" width="15" style="508" bestFit="1" customWidth="1"/>
    <col min="33" max="33" width="13.28515625" style="509" bestFit="1" customWidth="1"/>
    <col min="34" max="34" width="7.28515625" style="510" customWidth="1"/>
    <col min="35" max="35" width="16.7109375" style="508" bestFit="1" customWidth="1"/>
    <col min="36" max="36" width="14" style="509" bestFit="1" customWidth="1"/>
    <col min="37" max="37" width="16.42578125" style="510" bestFit="1" customWidth="1"/>
    <col min="38" max="38" width="17.28515625" style="508" bestFit="1" customWidth="1"/>
    <col min="39" max="39" width="17.140625" style="509" bestFit="1" customWidth="1"/>
    <col min="40" max="40" width="7.28515625" style="510" customWidth="1"/>
    <col min="41" max="41" width="10.85546875" style="509"/>
    <col min="42" max="42" width="11.42578125" style="509" bestFit="1" customWidth="1"/>
    <col min="43" max="43" width="12.42578125" style="509" bestFit="1" customWidth="1"/>
    <col min="44" max="16384" width="10.85546875" style="509"/>
  </cols>
  <sheetData>
    <row r="1" spans="1:40" s="463" customFormat="1" ht="22.5" customHeight="1" x14ac:dyDescent="0.25">
      <c r="A1" s="751" t="s">
        <v>1169</v>
      </c>
      <c r="B1" s="753" t="s">
        <v>0</v>
      </c>
      <c r="C1" s="754"/>
      <c r="D1" s="755"/>
      <c r="E1" s="749">
        <v>45658</v>
      </c>
      <c r="F1" s="749"/>
      <c r="G1" s="750"/>
      <c r="H1" s="748">
        <v>45689</v>
      </c>
      <c r="I1" s="749"/>
      <c r="J1" s="750"/>
      <c r="K1" s="748">
        <v>45717</v>
      </c>
      <c r="L1" s="749"/>
      <c r="M1" s="750"/>
      <c r="N1" s="748">
        <v>45748</v>
      </c>
      <c r="O1" s="749"/>
      <c r="P1" s="750"/>
      <c r="Q1" s="748">
        <v>45778</v>
      </c>
      <c r="R1" s="749"/>
      <c r="S1" s="750"/>
      <c r="T1" s="748">
        <v>45809</v>
      </c>
      <c r="U1" s="749"/>
      <c r="V1" s="750"/>
      <c r="W1" s="748">
        <v>45839</v>
      </c>
      <c r="X1" s="749"/>
      <c r="Y1" s="750"/>
      <c r="Z1" s="748">
        <v>45870</v>
      </c>
      <c r="AA1" s="749"/>
      <c r="AB1" s="750"/>
      <c r="AC1" s="748">
        <v>45901</v>
      </c>
      <c r="AD1" s="749"/>
      <c r="AE1" s="750"/>
      <c r="AF1" s="748">
        <v>45931</v>
      </c>
      <c r="AG1" s="749"/>
      <c r="AH1" s="750"/>
      <c r="AI1" s="748">
        <v>45962</v>
      </c>
      <c r="AJ1" s="749"/>
      <c r="AK1" s="750"/>
      <c r="AL1" s="748">
        <v>45992</v>
      </c>
      <c r="AM1" s="749"/>
      <c r="AN1" s="750"/>
    </row>
    <row r="2" spans="1:40" s="469" customFormat="1" ht="17.100000000000001" customHeight="1" thickBot="1" x14ac:dyDescent="0.3">
      <c r="A2" s="752"/>
      <c r="B2" s="464" t="s">
        <v>1</v>
      </c>
      <c r="C2" s="465" t="s">
        <v>2</v>
      </c>
      <c r="D2" s="466" t="s">
        <v>3</v>
      </c>
      <c r="E2" s="467" t="s">
        <v>1</v>
      </c>
      <c r="F2" s="465" t="s">
        <v>2</v>
      </c>
      <c r="G2" s="465" t="s">
        <v>3</v>
      </c>
      <c r="H2" s="468" t="s">
        <v>1</v>
      </c>
      <c r="I2" s="465" t="s">
        <v>2</v>
      </c>
      <c r="J2" s="465" t="s">
        <v>3</v>
      </c>
      <c r="K2" s="468" t="s">
        <v>1</v>
      </c>
      <c r="L2" s="465" t="s">
        <v>2</v>
      </c>
      <c r="M2" s="465" t="s">
        <v>3</v>
      </c>
      <c r="N2" s="468" t="s">
        <v>1</v>
      </c>
      <c r="O2" s="465" t="s">
        <v>2</v>
      </c>
      <c r="P2" s="465" t="s">
        <v>3</v>
      </c>
      <c r="Q2" s="468" t="s">
        <v>1</v>
      </c>
      <c r="R2" s="465" t="s">
        <v>2</v>
      </c>
      <c r="S2" s="465" t="s">
        <v>3</v>
      </c>
      <c r="T2" s="468" t="s">
        <v>1</v>
      </c>
      <c r="U2" s="465" t="s">
        <v>2</v>
      </c>
      <c r="V2" s="465" t="s">
        <v>3</v>
      </c>
      <c r="W2" s="468" t="s">
        <v>1</v>
      </c>
      <c r="X2" s="465" t="s">
        <v>2</v>
      </c>
      <c r="Y2" s="465" t="s">
        <v>3</v>
      </c>
      <c r="Z2" s="468" t="s">
        <v>1</v>
      </c>
      <c r="AA2" s="465" t="s">
        <v>2</v>
      </c>
      <c r="AB2" s="465" t="s">
        <v>3</v>
      </c>
      <c r="AC2" s="468" t="s">
        <v>1</v>
      </c>
      <c r="AD2" s="465" t="s">
        <v>2</v>
      </c>
      <c r="AE2" s="465" t="s">
        <v>3</v>
      </c>
      <c r="AF2" s="468" t="s">
        <v>1</v>
      </c>
      <c r="AG2" s="465" t="s">
        <v>2</v>
      </c>
      <c r="AH2" s="465" t="s">
        <v>3</v>
      </c>
      <c r="AI2" s="468" t="s">
        <v>1</v>
      </c>
      <c r="AJ2" s="465" t="s">
        <v>2</v>
      </c>
      <c r="AK2" s="465" t="s">
        <v>3</v>
      </c>
      <c r="AL2" s="468" t="s">
        <v>1</v>
      </c>
      <c r="AM2" s="465" t="s">
        <v>2</v>
      </c>
      <c r="AN2" s="466" t="s">
        <v>3</v>
      </c>
    </row>
    <row r="3" spans="1:40" s="477" customFormat="1" ht="24.6" customHeight="1" x14ac:dyDescent="0.25">
      <c r="A3" s="470" t="s">
        <v>4</v>
      </c>
      <c r="B3" s="530">
        <f>E3+H3+K3+N3+Q3+T3+W3+Z3+AC3+AF3+AI3+AL3</f>
        <v>0</v>
      </c>
      <c r="C3" s="531">
        <f t="shared" ref="C3:C11" si="0">F3+I3+L3+O3+R3+U3+X3+AA3+AD3+AG3+AJ3+AM3</f>
        <v>0</v>
      </c>
      <c r="D3" s="472" t="e">
        <f>C3/B3</f>
        <v>#DIV/0!</v>
      </c>
      <c r="E3" s="473"/>
      <c r="F3" s="474"/>
      <c r="G3" s="475" t="e">
        <f>F3/E3</f>
        <v>#DIV/0!</v>
      </c>
      <c r="H3" s="473"/>
      <c r="I3" s="471"/>
      <c r="J3" s="476" t="e">
        <f t="shared" ref="J3" si="1">I3/H3</f>
        <v>#DIV/0!</v>
      </c>
      <c r="K3" s="473"/>
      <c r="L3" s="471"/>
      <c r="M3" s="475" t="e">
        <f t="shared" ref="M3:M4" si="2">L3/K3</f>
        <v>#DIV/0!</v>
      </c>
      <c r="N3" s="473"/>
      <c r="O3" s="471"/>
      <c r="P3" s="475" t="e">
        <f t="shared" ref="P3:P4" si="3">O3/N3</f>
        <v>#DIV/0!</v>
      </c>
      <c r="Q3" s="473"/>
      <c r="R3" s="471"/>
      <c r="S3" s="475" t="e">
        <f t="shared" ref="S3:S4" si="4">R3/Q3</f>
        <v>#DIV/0!</v>
      </c>
      <c r="T3" s="473"/>
      <c r="U3" s="471"/>
      <c r="V3" s="475" t="e">
        <f t="shared" ref="V3:V4" si="5">U3/T3</f>
        <v>#DIV/0!</v>
      </c>
      <c r="W3" s="473"/>
      <c r="X3" s="471"/>
      <c r="Y3" s="475" t="e">
        <f>X3/W3</f>
        <v>#DIV/0!</v>
      </c>
      <c r="Z3" s="473"/>
      <c r="AA3" s="471"/>
      <c r="AB3" s="475" t="e">
        <f>AA3/Z3</f>
        <v>#DIV/0!</v>
      </c>
      <c r="AC3" s="473"/>
      <c r="AD3" s="471"/>
      <c r="AE3" s="475" t="e">
        <f>AD3/AC3</f>
        <v>#DIV/0!</v>
      </c>
      <c r="AF3" s="473"/>
      <c r="AG3" s="471"/>
      <c r="AH3" s="475" t="e">
        <f>AG3/AF3</f>
        <v>#DIV/0!</v>
      </c>
      <c r="AI3" s="473"/>
      <c r="AJ3" s="471"/>
      <c r="AK3" s="475" t="e">
        <f>AJ3/AI3</f>
        <v>#DIV/0!</v>
      </c>
      <c r="AL3" s="473"/>
      <c r="AM3" s="471"/>
      <c r="AN3" s="472" t="e">
        <f>AM3/AL3</f>
        <v>#DIV/0!</v>
      </c>
    </row>
    <row r="4" spans="1:40" s="477" customFormat="1" ht="24.6" customHeight="1" x14ac:dyDescent="0.25">
      <c r="A4" s="478" t="s">
        <v>5</v>
      </c>
      <c r="B4" s="532">
        <f>E4+H4+K4+N4+Q4+T4+W4+Z4+AC4+AF4+AI4+AL4</f>
        <v>0</v>
      </c>
      <c r="C4" s="533">
        <f t="shared" si="0"/>
        <v>0</v>
      </c>
      <c r="D4" s="480" t="e">
        <f>C4/B4</f>
        <v>#DIV/0!</v>
      </c>
      <c r="E4" s="481"/>
      <c r="F4" s="482"/>
      <c r="G4" s="476" t="e">
        <f>F4/E4</f>
        <v>#DIV/0!</v>
      </c>
      <c r="H4" s="481"/>
      <c r="I4" s="482"/>
      <c r="J4" s="476" t="e">
        <f>I4/H4</f>
        <v>#DIV/0!</v>
      </c>
      <c r="K4" s="481"/>
      <c r="L4" s="483"/>
      <c r="M4" s="476" t="e">
        <f t="shared" si="2"/>
        <v>#DIV/0!</v>
      </c>
      <c r="N4" s="481"/>
      <c r="O4" s="483"/>
      <c r="P4" s="476" t="e">
        <f t="shared" si="3"/>
        <v>#DIV/0!</v>
      </c>
      <c r="Q4" s="481"/>
      <c r="R4" s="483"/>
      <c r="S4" s="476" t="e">
        <f t="shared" si="4"/>
        <v>#DIV/0!</v>
      </c>
      <c r="T4" s="481"/>
      <c r="U4" s="483"/>
      <c r="V4" s="476" t="e">
        <f t="shared" si="5"/>
        <v>#DIV/0!</v>
      </c>
      <c r="W4" s="481"/>
      <c r="X4" s="483"/>
      <c r="Y4" s="476" t="e">
        <f>X4/W4</f>
        <v>#DIV/0!</v>
      </c>
      <c r="Z4" s="481"/>
      <c r="AA4" s="483"/>
      <c r="AB4" s="476" t="e">
        <f>AA4/Z4</f>
        <v>#DIV/0!</v>
      </c>
      <c r="AC4" s="481"/>
      <c r="AD4" s="483"/>
      <c r="AE4" s="476" t="e">
        <f>AD4/AC4</f>
        <v>#DIV/0!</v>
      </c>
      <c r="AF4" s="481"/>
      <c r="AG4" s="483"/>
      <c r="AH4" s="476" t="e">
        <f>AG4/AF4</f>
        <v>#DIV/0!</v>
      </c>
      <c r="AI4" s="481"/>
      <c r="AJ4" s="483"/>
      <c r="AK4" s="476" t="e">
        <f>AJ4/AI4</f>
        <v>#DIV/0!</v>
      </c>
      <c r="AL4" s="481"/>
      <c r="AM4" s="483"/>
      <c r="AN4" s="480" t="e">
        <f>AM4/AL4</f>
        <v>#DIV/0!</v>
      </c>
    </row>
    <row r="5" spans="1:40" s="488" customFormat="1" ht="24.6" customHeight="1" x14ac:dyDescent="0.25">
      <c r="A5" s="478" t="s">
        <v>6</v>
      </c>
      <c r="B5" s="534"/>
      <c r="C5" s="533">
        <f t="shared" si="0"/>
        <v>0</v>
      </c>
      <c r="D5" s="484" t="e">
        <f>C5/C4</f>
        <v>#DIV/0!</v>
      </c>
      <c r="E5" s="485"/>
      <c r="F5" s="479"/>
      <c r="G5" s="486" t="e">
        <f>F5/F4</f>
        <v>#DIV/0!</v>
      </c>
      <c r="H5" s="487"/>
      <c r="I5" s="483"/>
      <c r="J5" s="476" t="e">
        <f>I5/I4</f>
        <v>#DIV/0!</v>
      </c>
      <c r="K5" s="487"/>
      <c r="L5" s="483"/>
      <c r="M5" s="486" t="e">
        <f>L5/L4</f>
        <v>#DIV/0!</v>
      </c>
      <c r="N5" s="487"/>
      <c r="O5" s="483"/>
      <c r="P5" s="486" t="e">
        <f>O5/O4</f>
        <v>#DIV/0!</v>
      </c>
      <c r="Q5" s="487"/>
      <c r="R5" s="483"/>
      <c r="S5" s="486" t="e">
        <f>R5/R4</f>
        <v>#DIV/0!</v>
      </c>
      <c r="T5" s="487"/>
      <c r="U5" s="483"/>
      <c r="V5" s="486" t="e">
        <f>U5/U4</f>
        <v>#DIV/0!</v>
      </c>
      <c r="W5" s="487"/>
      <c r="X5" s="483"/>
      <c r="Y5" s="486" t="e">
        <f>X5/X4</f>
        <v>#DIV/0!</v>
      </c>
      <c r="Z5" s="487"/>
      <c r="AA5" s="483"/>
      <c r="AB5" s="486" t="e">
        <f>AA5/AA4</f>
        <v>#DIV/0!</v>
      </c>
      <c r="AC5" s="487"/>
      <c r="AD5" s="483"/>
      <c r="AE5" s="486" t="e">
        <f>AD5/AD4</f>
        <v>#DIV/0!</v>
      </c>
      <c r="AF5" s="487"/>
      <c r="AG5" s="483"/>
      <c r="AH5" s="486" t="e">
        <f>AG5/AG4</f>
        <v>#DIV/0!</v>
      </c>
      <c r="AI5" s="487"/>
      <c r="AJ5" s="483"/>
      <c r="AK5" s="486" t="e">
        <f>AJ5/AJ4</f>
        <v>#DIV/0!</v>
      </c>
      <c r="AL5" s="487"/>
      <c r="AM5" s="483"/>
      <c r="AN5" s="484" t="e">
        <f>AM5/AM4</f>
        <v>#DIV/0!</v>
      </c>
    </row>
    <row r="6" spans="1:40" s="477" customFormat="1" ht="24.6" customHeight="1" x14ac:dyDescent="0.25">
      <c r="A6" s="489" t="s">
        <v>7</v>
      </c>
      <c r="B6" s="535">
        <f t="shared" ref="B6:B11" si="6">E6+H6+K6+N6+Q6+T6+W6+Z6+AC6+AF6+AI6+AL6</f>
        <v>0</v>
      </c>
      <c r="C6" s="429">
        <f t="shared" si="0"/>
        <v>0</v>
      </c>
      <c r="D6" s="492" t="e">
        <f>C6/B6</f>
        <v>#DIV/0!</v>
      </c>
      <c r="E6" s="490"/>
      <c r="F6" s="491"/>
      <c r="G6" s="492" t="e">
        <f t="shared" ref="G6:G9" si="7">F6/F5</f>
        <v>#DIV/0!</v>
      </c>
      <c r="H6" s="490"/>
      <c r="I6" s="491"/>
      <c r="J6" s="492" t="e">
        <f t="shared" ref="J6:J9" si="8">I6/I5</f>
        <v>#DIV/0!</v>
      </c>
      <c r="K6" s="490"/>
      <c r="L6" s="491"/>
      <c r="M6" s="492" t="e">
        <f t="shared" ref="M6:M9" si="9">L6/L5</f>
        <v>#DIV/0!</v>
      </c>
      <c r="N6" s="490"/>
      <c r="O6" s="491"/>
      <c r="P6" s="492" t="e">
        <f t="shared" ref="P6:P9" si="10">O6/O5</f>
        <v>#DIV/0!</v>
      </c>
      <c r="Q6" s="490"/>
      <c r="R6" s="491"/>
      <c r="S6" s="492" t="e">
        <f>R6/R5</f>
        <v>#DIV/0!</v>
      </c>
      <c r="T6" s="490"/>
      <c r="U6" s="491"/>
      <c r="V6" s="492" t="e">
        <f t="shared" ref="V6:V9" si="11">U6/U5</f>
        <v>#DIV/0!</v>
      </c>
      <c r="W6" s="490"/>
      <c r="X6" s="491"/>
      <c r="Y6" s="492" t="e">
        <f t="shared" ref="Y6:Y9" si="12">X6/X5</f>
        <v>#DIV/0!</v>
      </c>
      <c r="Z6" s="490"/>
      <c r="AA6" s="491"/>
      <c r="AB6" s="492" t="e">
        <f t="shared" ref="AB6:AB9" si="13">AA6/AA5</f>
        <v>#DIV/0!</v>
      </c>
      <c r="AC6" s="490"/>
      <c r="AD6" s="491"/>
      <c r="AE6" s="492" t="e">
        <f t="shared" ref="AE6:AE9" si="14">AD6/AD5</f>
        <v>#DIV/0!</v>
      </c>
      <c r="AF6" s="490"/>
      <c r="AG6" s="491"/>
      <c r="AH6" s="492" t="e">
        <f t="shared" ref="AH6:AH9" si="15">AG6/AG5</f>
        <v>#DIV/0!</v>
      </c>
      <c r="AI6" s="490"/>
      <c r="AJ6" s="491"/>
      <c r="AK6" s="492" t="e">
        <f t="shared" ref="AK6:AK9" si="16">AJ6/AJ5</f>
        <v>#DIV/0!</v>
      </c>
      <c r="AL6" s="490"/>
      <c r="AM6" s="491"/>
      <c r="AN6" s="492" t="e">
        <f t="shared" ref="AN6:AN9" si="17">AM6/AM5</f>
        <v>#DIV/0!</v>
      </c>
    </row>
    <row r="7" spans="1:40" s="477" customFormat="1" ht="24.6" customHeight="1" x14ac:dyDescent="0.25">
      <c r="A7" s="489" t="s">
        <v>8</v>
      </c>
      <c r="B7" s="535">
        <f t="shared" si="6"/>
        <v>0</v>
      </c>
      <c r="C7" s="429">
        <f t="shared" si="0"/>
        <v>0</v>
      </c>
      <c r="D7" s="492" t="e">
        <f>C7/B7</f>
        <v>#DIV/0!</v>
      </c>
      <c r="E7" s="490"/>
      <c r="F7" s="491"/>
      <c r="G7" s="492" t="e">
        <f t="shared" si="7"/>
        <v>#DIV/0!</v>
      </c>
      <c r="H7" s="490"/>
      <c r="I7" s="491"/>
      <c r="J7" s="492" t="e">
        <f t="shared" si="8"/>
        <v>#DIV/0!</v>
      </c>
      <c r="K7" s="490"/>
      <c r="L7" s="491"/>
      <c r="M7" s="492" t="e">
        <f t="shared" si="9"/>
        <v>#DIV/0!</v>
      </c>
      <c r="N7" s="490"/>
      <c r="O7" s="491"/>
      <c r="P7" s="492" t="e">
        <f t="shared" si="10"/>
        <v>#DIV/0!</v>
      </c>
      <c r="Q7" s="490"/>
      <c r="R7" s="491"/>
      <c r="S7" s="492" t="e">
        <f t="shared" ref="S7:S9" si="18">R7/R6</f>
        <v>#DIV/0!</v>
      </c>
      <c r="T7" s="490"/>
      <c r="U7" s="491"/>
      <c r="V7" s="492" t="e">
        <f t="shared" si="11"/>
        <v>#DIV/0!</v>
      </c>
      <c r="W7" s="490"/>
      <c r="X7" s="491"/>
      <c r="Y7" s="492" t="e">
        <f t="shared" si="12"/>
        <v>#DIV/0!</v>
      </c>
      <c r="Z7" s="490"/>
      <c r="AA7" s="491"/>
      <c r="AB7" s="492" t="e">
        <f t="shared" si="13"/>
        <v>#DIV/0!</v>
      </c>
      <c r="AC7" s="490"/>
      <c r="AD7" s="491"/>
      <c r="AE7" s="492" t="e">
        <f t="shared" si="14"/>
        <v>#DIV/0!</v>
      </c>
      <c r="AF7" s="490"/>
      <c r="AG7" s="491"/>
      <c r="AH7" s="492" t="e">
        <f t="shared" si="15"/>
        <v>#DIV/0!</v>
      </c>
      <c r="AI7" s="490"/>
      <c r="AJ7" s="491"/>
      <c r="AK7" s="492" t="e">
        <f t="shared" si="16"/>
        <v>#DIV/0!</v>
      </c>
      <c r="AL7" s="490"/>
      <c r="AM7" s="491"/>
      <c r="AN7" s="492" t="e">
        <f t="shared" si="17"/>
        <v>#DIV/0!</v>
      </c>
    </row>
    <row r="8" spans="1:40" s="477" customFormat="1" ht="24.6" customHeight="1" x14ac:dyDescent="0.25">
      <c r="A8" s="489" t="s">
        <v>9</v>
      </c>
      <c r="B8" s="535">
        <f t="shared" si="6"/>
        <v>0</v>
      </c>
      <c r="C8" s="429">
        <f t="shared" si="0"/>
        <v>0</v>
      </c>
      <c r="D8" s="492" t="e">
        <f>C8/B8</f>
        <v>#DIV/0!</v>
      </c>
      <c r="E8" s="490"/>
      <c r="F8" s="491"/>
      <c r="G8" s="492" t="e">
        <f t="shared" si="7"/>
        <v>#DIV/0!</v>
      </c>
      <c r="H8" s="490"/>
      <c r="I8" s="491"/>
      <c r="J8" s="492" t="e">
        <f t="shared" si="8"/>
        <v>#DIV/0!</v>
      </c>
      <c r="K8" s="490"/>
      <c r="L8" s="491"/>
      <c r="M8" s="492" t="e">
        <f t="shared" si="9"/>
        <v>#DIV/0!</v>
      </c>
      <c r="N8" s="490"/>
      <c r="O8" s="491"/>
      <c r="P8" s="492" t="e">
        <f t="shared" si="10"/>
        <v>#DIV/0!</v>
      </c>
      <c r="Q8" s="490"/>
      <c r="R8" s="491"/>
      <c r="S8" s="492" t="e">
        <f t="shared" si="18"/>
        <v>#DIV/0!</v>
      </c>
      <c r="T8" s="490"/>
      <c r="U8" s="491"/>
      <c r="V8" s="492" t="e">
        <f t="shared" si="11"/>
        <v>#DIV/0!</v>
      </c>
      <c r="W8" s="490"/>
      <c r="X8" s="491"/>
      <c r="Y8" s="492" t="e">
        <f t="shared" si="12"/>
        <v>#DIV/0!</v>
      </c>
      <c r="Z8" s="490"/>
      <c r="AA8" s="491"/>
      <c r="AB8" s="492" t="e">
        <f t="shared" si="13"/>
        <v>#DIV/0!</v>
      </c>
      <c r="AC8" s="490"/>
      <c r="AD8" s="491"/>
      <c r="AE8" s="492" t="e">
        <f t="shared" si="14"/>
        <v>#DIV/0!</v>
      </c>
      <c r="AF8" s="490"/>
      <c r="AG8" s="491"/>
      <c r="AH8" s="492" t="e">
        <f t="shared" si="15"/>
        <v>#DIV/0!</v>
      </c>
      <c r="AI8" s="490"/>
      <c r="AJ8" s="491"/>
      <c r="AK8" s="492" t="e">
        <f t="shared" si="16"/>
        <v>#DIV/0!</v>
      </c>
      <c r="AL8" s="490"/>
      <c r="AM8" s="491"/>
      <c r="AN8" s="492" t="e">
        <f t="shared" si="17"/>
        <v>#DIV/0!</v>
      </c>
    </row>
    <row r="9" spans="1:40" s="477" customFormat="1" ht="24.6" customHeight="1" x14ac:dyDescent="0.25">
      <c r="A9" s="489" t="s">
        <v>10</v>
      </c>
      <c r="B9" s="535">
        <f t="shared" si="6"/>
        <v>0</v>
      </c>
      <c r="C9" s="429">
        <f t="shared" si="0"/>
        <v>0</v>
      </c>
      <c r="D9" s="492" t="e">
        <f t="shared" ref="D9:D11" si="19">C9/B9</f>
        <v>#DIV/0!</v>
      </c>
      <c r="E9" s="490"/>
      <c r="F9" s="491"/>
      <c r="G9" s="492" t="e">
        <f t="shared" si="7"/>
        <v>#DIV/0!</v>
      </c>
      <c r="H9" s="490"/>
      <c r="I9" s="491"/>
      <c r="J9" s="492" t="e">
        <f t="shared" si="8"/>
        <v>#DIV/0!</v>
      </c>
      <c r="K9" s="490"/>
      <c r="L9" s="491"/>
      <c r="M9" s="492" t="e">
        <f t="shared" si="9"/>
        <v>#DIV/0!</v>
      </c>
      <c r="N9" s="490"/>
      <c r="O9" s="491"/>
      <c r="P9" s="492" t="e">
        <f t="shared" si="10"/>
        <v>#DIV/0!</v>
      </c>
      <c r="Q9" s="490"/>
      <c r="R9" s="491"/>
      <c r="S9" s="492" t="e">
        <f t="shared" si="18"/>
        <v>#DIV/0!</v>
      </c>
      <c r="T9" s="490"/>
      <c r="U9" s="491"/>
      <c r="V9" s="492" t="e">
        <f t="shared" si="11"/>
        <v>#DIV/0!</v>
      </c>
      <c r="W9" s="490"/>
      <c r="X9" s="491"/>
      <c r="Y9" s="492" t="e">
        <f t="shared" si="12"/>
        <v>#DIV/0!</v>
      </c>
      <c r="Z9" s="490"/>
      <c r="AA9" s="491"/>
      <c r="AB9" s="492" t="e">
        <f t="shared" si="13"/>
        <v>#DIV/0!</v>
      </c>
      <c r="AC9" s="490"/>
      <c r="AD9" s="491"/>
      <c r="AE9" s="492" t="e">
        <f t="shared" si="14"/>
        <v>#DIV/0!</v>
      </c>
      <c r="AF9" s="490"/>
      <c r="AG9" s="491"/>
      <c r="AH9" s="492" t="e">
        <f t="shared" si="15"/>
        <v>#DIV/0!</v>
      </c>
      <c r="AI9" s="490"/>
      <c r="AJ9" s="491"/>
      <c r="AK9" s="492" t="e">
        <f t="shared" si="16"/>
        <v>#DIV/0!</v>
      </c>
      <c r="AL9" s="490"/>
      <c r="AM9" s="491"/>
      <c r="AN9" s="492" t="e">
        <f t="shared" si="17"/>
        <v>#DIV/0!</v>
      </c>
    </row>
    <row r="10" spans="1:40" s="477" customFormat="1" ht="24.6" customHeight="1" x14ac:dyDescent="0.25">
      <c r="A10" s="493" t="s">
        <v>11</v>
      </c>
      <c r="B10" s="536">
        <f t="shared" si="6"/>
        <v>0</v>
      </c>
      <c r="C10" s="430">
        <f t="shared" si="0"/>
        <v>0</v>
      </c>
      <c r="D10" s="496" t="e">
        <f t="shared" si="19"/>
        <v>#DIV/0!</v>
      </c>
      <c r="E10" s="494">
        <f>SUM(E6:E9)</f>
        <v>0</v>
      </c>
      <c r="F10" s="495">
        <f>SUM(F6:F9)</f>
        <v>0</v>
      </c>
      <c r="G10" s="496" t="e">
        <f>F10/E10</f>
        <v>#DIV/0!</v>
      </c>
      <c r="H10" s="494">
        <f>SUM(H6:H9)</f>
        <v>0</v>
      </c>
      <c r="I10" s="495">
        <f>SUM(I6:I9)</f>
        <v>0</v>
      </c>
      <c r="J10" s="496" t="e">
        <f>I10/H10</f>
        <v>#DIV/0!</v>
      </c>
      <c r="K10" s="494">
        <f>SUM(K6:K9)</f>
        <v>0</v>
      </c>
      <c r="L10" s="495">
        <f>SUM(L6:L9)</f>
        <v>0</v>
      </c>
      <c r="M10" s="496" t="e">
        <f>L10/K10</f>
        <v>#DIV/0!</v>
      </c>
      <c r="N10" s="494">
        <f>SUM(N6:N9)</f>
        <v>0</v>
      </c>
      <c r="O10" s="495">
        <f>SUM(O6:O9)</f>
        <v>0</v>
      </c>
      <c r="P10" s="496" t="e">
        <f>O10/N10</f>
        <v>#DIV/0!</v>
      </c>
      <c r="Q10" s="494">
        <f>SUM(Q6:Q9)</f>
        <v>0</v>
      </c>
      <c r="R10" s="495">
        <f>SUM(R6:R9)</f>
        <v>0</v>
      </c>
      <c r="S10" s="496" t="e">
        <f>R10/Q10</f>
        <v>#DIV/0!</v>
      </c>
      <c r="T10" s="494">
        <f>SUM(T6:T9)</f>
        <v>0</v>
      </c>
      <c r="U10" s="495">
        <f>SUM(U6:U9)</f>
        <v>0</v>
      </c>
      <c r="V10" s="496" t="e">
        <f>U10/T10</f>
        <v>#DIV/0!</v>
      </c>
      <c r="W10" s="494">
        <f>SUM(W6:W9)</f>
        <v>0</v>
      </c>
      <c r="X10" s="495">
        <f>SUM(X6:X9)</f>
        <v>0</v>
      </c>
      <c r="Y10" s="496" t="e">
        <f>X10/W10</f>
        <v>#DIV/0!</v>
      </c>
      <c r="Z10" s="494">
        <f>SUM(Z6:Z9)</f>
        <v>0</v>
      </c>
      <c r="AA10" s="495">
        <f>SUM(AA6:AA9)</f>
        <v>0</v>
      </c>
      <c r="AB10" s="496" t="e">
        <f>AA10/Z10</f>
        <v>#DIV/0!</v>
      </c>
      <c r="AC10" s="494">
        <f>SUM(AC6:AC9)</f>
        <v>0</v>
      </c>
      <c r="AD10" s="495">
        <f>SUM(AD6:AD9)</f>
        <v>0</v>
      </c>
      <c r="AE10" s="496" t="e">
        <f>AD10/AC10</f>
        <v>#DIV/0!</v>
      </c>
      <c r="AF10" s="494">
        <f>SUM(AF6:AF9)</f>
        <v>0</v>
      </c>
      <c r="AG10" s="495">
        <f>SUM(AG6:AG9)</f>
        <v>0</v>
      </c>
      <c r="AH10" s="496" t="e">
        <f>AG10/AF10</f>
        <v>#DIV/0!</v>
      </c>
      <c r="AI10" s="494">
        <f>SUM(AI6:AI9)</f>
        <v>0</v>
      </c>
      <c r="AJ10" s="495">
        <f>SUM(AJ6:AJ9)</f>
        <v>0</v>
      </c>
      <c r="AK10" s="496" t="e">
        <f>AJ10/AI10</f>
        <v>#DIV/0!</v>
      </c>
      <c r="AL10" s="494">
        <f>SUM(AL6:AL9)</f>
        <v>0</v>
      </c>
      <c r="AM10" s="495">
        <f>SUM(AM6:AM9)</f>
        <v>0</v>
      </c>
      <c r="AN10" s="496" t="e">
        <f>AM10/AL10</f>
        <v>#DIV/0!</v>
      </c>
    </row>
    <row r="11" spans="1:40" s="488" customFormat="1" ht="24.6" customHeight="1" thickBot="1" x14ac:dyDescent="0.3">
      <c r="A11" s="497" t="s">
        <v>12</v>
      </c>
      <c r="B11" s="431">
        <f t="shared" si="6"/>
        <v>0</v>
      </c>
      <c r="C11" s="432">
        <f t="shared" si="0"/>
        <v>0</v>
      </c>
      <c r="D11" s="500" t="e">
        <f t="shared" si="19"/>
        <v>#DIV/0!</v>
      </c>
      <c r="E11" s="498"/>
      <c r="F11" s="499"/>
      <c r="G11" s="500" t="e">
        <f>F11/E11</f>
        <v>#DIV/0!</v>
      </c>
      <c r="H11" s="498"/>
      <c r="I11" s="499"/>
      <c r="J11" s="500" t="e">
        <f>I11/H11</f>
        <v>#DIV/0!</v>
      </c>
      <c r="K11" s="498"/>
      <c r="L11" s="499"/>
      <c r="M11" s="500" t="e">
        <f>L11/K11</f>
        <v>#DIV/0!</v>
      </c>
      <c r="N11" s="498"/>
      <c r="O11" s="499"/>
      <c r="P11" s="500" t="e">
        <f>O11/N11</f>
        <v>#DIV/0!</v>
      </c>
      <c r="Q11" s="498"/>
      <c r="R11" s="499"/>
      <c r="S11" s="500" t="e">
        <f>R11/Q11</f>
        <v>#DIV/0!</v>
      </c>
      <c r="T11" s="498"/>
      <c r="U11" s="499"/>
      <c r="V11" s="500" t="e">
        <f>U11/T11</f>
        <v>#DIV/0!</v>
      </c>
      <c r="W11" s="498"/>
      <c r="X11" s="499"/>
      <c r="Y11" s="500" t="e">
        <f>X11/W11</f>
        <v>#DIV/0!</v>
      </c>
      <c r="Z11" s="498"/>
      <c r="AA11" s="499"/>
      <c r="AB11" s="500" t="e">
        <f>AA11/Z11</f>
        <v>#DIV/0!</v>
      </c>
      <c r="AC11" s="498"/>
      <c r="AD11" s="499"/>
      <c r="AE11" s="500" t="e">
        <f>AD11/AC11</f>
        <v>#DIV/0!</v>
      </c>
      <c r="AF11" s="498"/>
      <c r="AG11" s="499"/>
      <c r="AH11" s="500" t="e">
        <f>AG11/AF11</f>
        <v>#DIV/0!</v>
      </c>
      <c r="AI11" s="498"/>
      <c r="AJ11" s="499"/>
      <c r="AK11" s="500" t="e">
        <f>AJ11/AI11</f>
        <v>#DIV/0!</v>
      </c>
      <c r="AL11" s="498"/>
      <c r="AM11" s="499"/>
      <c r="AN11" s="500" t="e">
        <f>AM11/AL11</f>
        <v>#DIV/0!</v>
      </c>
    </row>
    <row r="12" spans="1:40" x14ac:dyDescent="0.2">
      <c r="K12" s="511"/>
      <c r="L12" s="511"/>
      <c r="M12" s="512"/>
    </row>
    <row r="13" spans="1:40" x14ac:dyDescent="0.2">
      <c r="B13" s="513"/>
      <c r="E13" s="514">
        <f>+E11</f>
        <v>0</v>
      </c>
      <c r="F13" s="514">
        <f>+F11</f>
        <v>0</v>
      </c>
      <c r="G13" s="500" t="e">
        <f>F13/E13</f>
        <v>#DIV/0!</v>
      </c>
      <c r="H13" s="514">
        <f>+H11+E13</f>
        <v>0</v>
      </c>
      <c r="I13" s="514">
        <f>+I11+F13</f>
        <v>0</v>
      </c>
      <c r="J13" s="500" t="e">
        <f t="shared" ref="J13" si="20">I13/H13</f>
        <v>#DIV/0!</v>
      </c>
      <c r="K13" s="514">
        <f>+K11+H13</f>
        <v>0</v>
      </c>
      <c r="L13" s="514">
        <f>+L11+I13</f>
        <v>0</v>
      </c>
      <c r="M13" s="500" t="e">
        <f t="shared" ref="M13" si="21">L13/K13</f>
        <v>#DIV/0!</v>
      </c>
      <c r="N13" s="514">
        <f>+N11+K13</f>
        <v>0</v>
      </c>
      <c r="O13" s="514">
        <f>+O11+L13</f>
        <v>0</v>
      </c>
      <c r="P13" s="500" t="e">
        <f>O13/N13</f>
        <v>#DIV/0!</v>
      </c>
      <c r="Q13" s="514">
        <f>+Q11+N13</f>
        <v>0</v>
      </c>
      <c r="R13" s="514">
        <f>+R11+O13</f>
        <v>0</v>
      </c>
      <c r="S13" s="500" t="e">
        <f t="shared" ref="S13" si="22">R13/Q13</f>
        <v>#DIV/0!</v>
      </c>
      <c r="T13" s="514">
        <f>+T11+Q13</f>
        <v>0</v>
      </c>
      <c r="U13" s="514">
        <f>+U11+R13</f>
        <v>0</v>
      </c>
      <c r="V13" s="500" t="e">
        <f t="shared" ref="V13" si="23">U13/T13</f>
        <v>#DIV/0!</v>
      </c>
      <c r="W13" s="514">
        <f>+W11+T13</f>
        <v>0</v>
      </c>
      <c r="X13" s="514">
        <f>+X11+U13</f>
        <v>0</v>
      </c>
      <c r="Y13" s="500" t="e">
        <f t="shared" ref="Y13" si="24">X13/W13</f>
        <v>#DIV/0!</v>
      </c>
      <c r="Z13" s="514">
        <f>+Z11+W13</f>
        <v>0</v>
      </c>
      <c r="AA13" s="514">
        <f>+AA11+X13</f>
        <v>0</v>
      </c>
      <c r="AB13" s="500" t="e">
        <f t="shared" ref="AB13" si="25">AA13/Z13</f>
        <v>#DIV/0!</v>
      </c>
      <c r="AC13" s="514">
        <f>+AC11+Z13</f>
        <v>0</v>
      </c>
      <c r="AD13" s="514">
        <f>+AD11+AA13</f>
        <v>0</v>
      </c>
      <c r="AE13" s="500" t="e">
        <f t="shared" ref="AE13" si="26">AD13/AC13</f>
        <v>#DIV/0!</v>
      </c>
      <c r="AF13" s="514">
        <f>+AF11+AC13</f>
        <v>0</v>
      </c>
      <c r="AG13" s="514">
        <f>+AG11+AD13</f>
        <v>0</v>
      </c>
      <c r="AH13" s="500" t="e">
        <f t="shared" ref="AH13" si="27">AG13/AF13</f>
        <v>#DIV/0!</v>
      </c>
      <c r="AI13" s="514">
        <f>+AI11+AF13</f>
        <v>0</v>
      </c>
      <c r="AJ13" s="514">
        <f>+AJ11+AG13</f>
        <v>0</v>
      </c>
      <c r="AK13" s="500" t="e">
        <f t="shared" ref="AK13" si="28">AJ13/AI13</f>
        <v>#DIV/0!</v>
      </c>
    </row>
    <row r="14" spans="1:40" x14ac:dyDescent="0.2">
      <c r="A14" s="515"/>
      <c r="B14" s="516"/>
      <c r="C14" s="517"/>
      <c r="E14" s="518"/>
      <c r="F14" s="518"/>
      <c r="H14" s="518"/>
      <c r="I14" s="518"/>
      <c r="L14" s="519"/>
      <c r="M14" s="520"/>
      <c r="N14" s="519"/>
      <c r="O14" s="519"/>
      <c r="P14" s="520"/>
      <c r="Q14" s="519"/>
      <c r="R14" s="519"/>
      <c r="S14" s="520"/>
      <c r="T14" s="521"/>
      <c r="U14" s="521"/>
      <c r="V14" s="522"/>
      <c r="AC14" s="511"/>
      <c r="AD14" s="511"/>
      <c r="AE14" s="523"/>
      <c r="AF14" s="511"/>
      <c r="AG14" s="511"/>
      <c r="AH14" s="523"/>
      <c r="AI14" s="511"/>
      <c r="AJ14" s="511"/>
      <c r="AK14" s="523"/>
      <c r="AL14" s="511"/>
      <c r="AM14" s="511"/>
      <c r="AN14" s="523"/>
    </row>
    <row r="15" spans="1:40" x14ac:dyDescent="0.2">
      <c r="A15" s="524"/>
      <c r="B15" s="511"/>
      <c r="C15" s="518"/>
      <c r="D15" s="525"/>
      <c r="L15" s="519"/>
      <c r="M15" s="520"/>
      <c r="N15" s="519"/>
      <c r="O15" s="519"/>
      <c r="P15" s="520"/>
      <c r="Q15" s="519"/>
      <c r="R15" s="519"/>
      <c r="S15" s="523"/>
      <c r="AI15" s="511"/>
      <c r="AJ15" s="511"/>
      <c r="AK15" s="523"/>
      <c r="AL15" s="511"/>
      <c r="AM15" s="511"/>
      <c r="AN15" s="523"/>
    </row>
    <row r="16" spans="1:40" x14ac:dyDescent="0.2">
      <c r="B16" s="511"/>
      <c r="H16" s="518"/>
      <c r="I16" s="518"/>
      <c r="L16" s="526"/>
      <c r="M16" s="527"/>
      <c r="N16" s="526"/>
      <c r="O16" s="526"/>
      <c r="P16" s="527"/>
      <c r="Q16" s="526"/>
      <c r="R16" s="526"/>
      <c r="AI16" s="511"/>
      <c r="AJ16" s="511"/>
      <c r="AK16" s="523"/>
      <c r="AL16" s="511"/>
      <c r="AM16" s="511"/>
      <c r="AN16" s="523"/>
    </row>
    <row r="17" spans="1:40" x14ac:dyDescent="0.2">
      <c r="B17" s="511"/>
      <c r="C17" s="511"/>
      <c r="D17" s="528"/>
      <c r="L17" s="519"/>
      <c r="M17" s="520"/>
      <c r="N17" s="519"/>
      <c r="O17" s="519"/>
      <c r="P17" s="520"/>
      <c r="Q17" s="519"/>
      <c r="R17" s="519"/>
    </row>
    <row r="18" spans="1:40" x14ac:dyDescent="0.2">
      <c r="A18" s="524"/>
      <c r="B18" s="511"/>
      <c r="C18" s="519"/>
      <c r="D18" s="520"/>
      <c r="AI18" s="511"/>
      <c r="AJ18" s="511"/>
      <c r="AK18" s="523"/>
      <c r="AL18" s="511"/>
      <c r="AM18" s="511"/>
      <c r="AN18" s="523"/>
    </row>
    <row r="19" spans="1:40" x14ac:dyDescent="0.2">
      <c r="A19" s="515"/>
      <c r="B19" s="511"/>
      <c r="C19" s="519"/>
      <c r="D19" s="520"/>
      <c r="E19" s="515"/>
      <c r="Q19" s="511"/>
      <c r="R19" s="511"/>
      <c r="S19" s="529"/>
    </row>
    <row r="22" spans="1:40" x14ac:dyDescent="0.2">
      <c r="E22" s="514"/>
      <c r="F22" s="514"/>
      <c r="I22" s="509" t="s">
        <v>15</v>
      </c>
    </row>
    <row r="23" spans="1:40" x14ac:dyDescent="0.2">
      <c r="E23" s="514"/>
      <c r="F23" s="514"/>
    </row>
    <row r="24" spans="1:40" x14ac:dyDescent="0.2">
      <c r="E24" s="514"/>
      <c r="F24" s="514"/>
    </row>
  </sheetData>
  <mergeCells count="14">
    <mergeCell ref="N1:P1"/>
    <mergeCell ref="A1:A2"/>
    <mergeCell ref="B1:D1"/>
    <mergeCell ref="E1:G1"/>
    <mergeCell ref="H1:J1"/>
    <mergeCell ref="K1:M1"/>
    <mergeCell ref="AI1:AK1"/>
    <mergeCell ref="AL1:AN1"/>
    <mergeCell ref="Q1:S1"/>
    <mergeCell ref="T1:V1"/>
    <mergeCell ref="W1:Y1"/>
    <mergeCell ref="Z1:AB1"/>
    <mergeCell ref="AC1:AE1"/>
    <mergeCell ref="AF1:AH1"/>
  </mergeCells>
  <conditionalFormatting sqref="D3">
    <cfRule type="dataBar" priority="16">
      <dataBar>
        <cfvo type="min"/>
        <cfvo type="percent" val="100"/>
        <color rgb="FFFF555A"/>
      </dataBar>
      <extLst>
        <ext xmlns:x14="http://schemas.microsoft.com/office/spreadsheetml/2009/9/main" uri="{B025F937-C7B1-47D3-B67F-A62EFF666E3E}">
          <x14:id>{2143A9DF-F2DD-4D6D-912B-7485FB1143F9}</x14:id>
        </ext>
      </extLst>
    </cfRule>
  </conditionalFormatting>
  <conditionalFormatting sqref="D3:D5 D10:D11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{D0ECBBD5-FAE0-4036-9648-10A303EE1F17}</x14:id>
        </ext>
      </extLst>
    </cfRule>
  </conditionalFormatting>
  <conditionalFormatting sqref="G3:G5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{6CF23F87-58AD-4D01-B299-361F852736A1}</x14:id>
        </ext>
      </extLst>
    </cfRule>
  </conditionalFormatting>
  <conditionalFormatting sqref="G10:G11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{381040BC-406A-43F0-AEF7-1995001D5C5C}</x14:id>
        </ext>
      </extLst>
    </cfRule>
  </conditionalFormatting>
  <conditionalFormatting sqref="G1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{E0D5C8AB-8000-4E97-8601-99C5A02A8C92}</x14:id>
        </ext>
      </extLst>
    </cfRule>
  </conditionalFormatting>
  <conditionalFormatting sqref="J3:J5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{36083E7A-84E5-4C8B-A36A-6B67C17AA73F}</x14:id>
        </ext>
      </extLst>
    </cfRule>
  </conditionalFormatting>
  <conditionalFormatting sqref="J10:J1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{C7F29D90-A064-45EB-9602-B2323BB7007E}</x14:id>
        </ext>
      </extLst>
    </cfRule>
  </conditionalFormatting>
  <conditionalFormatting sqref="J13 M13 P13 S13 V13 Y13 AB13 AE13 AH13 AK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{22AD2EDF-9AAA-432C-A2E6-56C1A9E9E8CB}</x14:id>
        </ext>
      </extLst>
    </cfRule>
  </conditionalFormatting>
  <conditionalFormatting sqref="M3:M5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{2F34FB3E-B52E-4D17-9FBE-F9BCE49A948F}</x14:id>
        </ext>
      </extLst>
    </cfRule>
  </conditionalFormatting>
  <conditionalFormatting sqref="M10:M1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{FFFFEC1C-4FB5-43E2-9E10-837F5F09050E}</x14:id>
        </ext>
      </extLst>
    </cfRule>
  </conditionalFormatting>
  <conditionalFormatting sqref="M12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{D157A1C0-C13B-41A0-A685-E97C92AFC00C}</x14:id>
        </ext>
      </extLst>
    </cfRule>
  </conditionalFormatting>
  <conditionalFormatting sqref="P3:P5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{44746874-E0E8-42A9-B10A-D2AAD32FC18D}</x14:id>
        </ext>
      </extLst>
    </cfRule>
  </conditionalFormatting>
  <conditionalFormatting sqref="P10:P11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{011A4DAA-AE95-49EC-9E7C-31C55ACEFAF2}</x14:id>
        </ext>
      </extLst>
    </cfRule>
  </conditionalFormatting>
  <conditionalFormatting sqref="S3:S5 V3:V5 Y3:Y4">
    <cfRule type="dataBar" priority="23">
      <dataBar>
        <cfvo type="min"/>
        <cfvo type="percent" val="100"/>
        <color rgb="FF63C384"/>
      </dataBar>
      <extLst>
        <ext xmlns:x14="http://schemas.microsoft.com/office/spreadsheetml/2009/9/main" uri="{B025F937-C7B1-47D3-B67F-A62EFF666E3E}">
          <x14:id>{093D7509-0541-4D23-820C-76E9B6D66D81}</x14:id>
        </ext>
      </extLst>
    </cfRule>
  </conditionalFormatting>
  <conditionalFormatting sqref="S10:S1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{E3032300-6648-49C6-9CC2-F06CCF341091}</x14:id>
        </ext>
      </extLst>
    </cfRule>
  </conditionalFormatting>
  <conditionalFormatting sqref="V10:V11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{C1D89E81-3577-4477-9B3C-F6E697305625}</x14:id>
        </ext>
      </extLst>
    </cfRule>
  </conditionalFormatting>
  <conditionalFormatting sqref="Y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{8949F4F2-1BFE-4CDB-97EA-CCD1FE0433EA}</x14:id>
        </ext>
      </extLst>
    </cfRule>
  </conditionalFormatting>
  <conditionalFormatting sqref="Y10:Y11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{ECC53A5D-F6FC-44B9-8825-CDF869921A6A}</x14:id>
        </ext>
      </extLst>
    </cfRule>
  </conditionalFormatting>
  <conditionalFormatting sqref="AB3:AB4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{16CD1C69-8806-4605-8884-69E3B3E2096B}</x14:id>
        </ext>
      </extLst>
    </cfRule>
  </conditionalFormatting>
  <conditionalFormatting sqref="AB5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{B746FF53-FE66-4961-936A-79F79EF85967}</x14:id>
        </ext>
      </extLst>
    </cfRule>
  </conditionalFormatting>
  <conditionalFormatting sqref="AB10:AB1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{838618AD-A3B5-41AF-A0E5-CE449A132DB2}</x14:id>
        </ext>
      </extLst>
    </cfRule>
  </conditionalFormatting>
  <conditionalFormatting sqref="AE3:AE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{97AF5DA3-D47C-4E38-84B0-C5FD2B4CB34A}</x14:id>
        </ext>
      </extLst>
    </cfRule>
  </conditionalFormatting>
  <conditionalFormatting sqref="AE5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{9EFFD74C-9528-422D-A5DC-F1F330CE58BE}</x14:id>
        </ext>
      </extLst>
    </cfRule>
  </conditionalFormatting>
  <conditionalFormatting sqref="AE10:AE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{4C0C3197-65BA-4EBE-B819-A264DEB8CB5B}</x14:id>
        </ext>
      </extLst>
    </cfRule>
  </conditionalFormatting>
  <conditionalFormatting sqref="AH3:AH4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{D8657CD1-E85F-469C-BC5F-A8D3DE3BF601}</x14:id>
        </ext>
      </extLst>
    </cfRule>
  </conditionalFormatting>
  <conditionalFormatting sqref="AH5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{ED52AF68-5C1D-4886-9DDF-170DDDFC60E9}</x14:id>
        </ext>
      </extLst>
    </cfRule>
  </conditionalFormatting>
  <conditionalFormatting sqref="AH10:AH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{24282BE7-2B6D-42BD-969A-098B4A047C1A}</x14:id>
        </ext>
      </extLst>
    </cfRule>
  </conditionalFormatting>
  <conditionalFormatting sqref="AK3:AK4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{228264BB-E7B0-45FD-941D-D63D9B134579}</x14:id>
        </ext>
      </extLst>
    </cfRule>
  </conditionalFormatting>
  <conditionalFormatting sqref="AK5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{0623DD67-7ECC-480E-AFA1-04DF6CE5D867}</x14:id>
        </ext>
      </extLst>
    </cfRule>
  </conditionalFormatting>
  <conditionalFormatting sqref="AK10:AK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{5940F612-403D-487D-B004-7EF1509F8A31}</x14:id>
        </ext>
      </extLst>
    </cfRule>
  </conditionalFormatting>
  <conditionalFormatting sqref="AN3:AN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{38EF048C-560A-450D-8771-FFCF903D926F}</x14:id>
        </ext>
      </extLst>
    </cfRule>
  </conditionalFormatting>
  <conditionalFormatting sqref="AN5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{A744C882-E1C4-4D01-9683-CD5DA61724EC}</x14:id>
        </ext>
      </extLst>
    </cfRule>
  </conditionalFormatting>
  <conditionalFormatting sqref="AN10:AN1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{BB20CCFC-A130-42FB-B790-4D865F4B2F56}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43A9DF-F2DD-4D6D-912B-7485FB1143F9}">
            <x14:dataBar minLength="0" maxLength="100" border="1" negativeBarBorderColorSameAsPositive="0">
              <x14:cfvo type="autoMin"/>
              <x14:cfvo type="percent">
                <xm:f>100</xm:f>
              </x14:cfvo>
              <x14:borderColor rgb="FFFF555A"/>
              <x14:negativeFillColor rgb="FFFF0000"/>
              <x14:negativeBorderColor rgb="FFFF0000"/>
              <x14:axisColor rgb="FF000000"/>
            </x14:dataBar>
          </x14:cfRule>
          <xm:sqref>D3</xm:sqref>
        </x14:conditionalFormatting>
        <x14:conditionalFormatting xmlns:xm="http://schemas.microsoft.com/office/excel/2006/main">
          <x14:cfRule type="dataBar" id="{D0ECBBD5-FAE0-4036-9648-10A303EE1F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D3:D5 D10:D11</xm:sqref>
        </x14:conditionalFormatting>
        <x14:conditionalFormatting xmlns:xm="http://schemas.microsoft.com/office/excel/2006/main">
          <x14:cfRule type="dataBar" id="{6CF23F87-58AD-4D01-B299-361F852736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G3:G5</xm:sqref>
        </x14:conditionalFormatting>
        <x14:conditionalFormatting xmlns:xm="http://schemas.microsoft.com/office/excel/2006/main">
          <x14:cfRule type="dataBar" id="{381040BC-406A-43F0-AEF7-1995001D5C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G10:G11</xm:sqref>
        </x14:conditionalFormatting>
        <x14:conditionalFormatting xmlns:xm="http://schemas.microsoft.com/office/excel/2006/main">
          <x14:cfRule type="dataBar" id="{E0D5C8AB-8000-4E97-8601-99C5A02A8C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G13</xm:sqref>
        </x14:conditionalFormatting>
        <x14:conditionalFormatting xmlns:xm="http://schemas.microsoft.com/office/excel/2006/main">
          <x14:cfRule type="dataBar" id="{36083E7A-84E5-4C8B-A36A-6B67C17AA7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J3:J5</xm:sqref>
        </x14:conditionalFormatting>
        <x14:conditionalFormatting xmlns:xm="http://schemas.microsoft.com/office/excel/2006/main">
          <x14:cfRule type="dataBar" id="{C7F29D90-A064-45EB-9602-B2323BB700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J10:J11</xm:sqref>
        </x14:conditionalFormatting>
        <x14:conditionalFormatting xmlns:xm="http://schemas.microsoft.com/office/excel/2006/main">
          <x14:cfRule type="dataBar" id="{22AD2EDF-9AAA-432C-A2E6-56C1A9E9E8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 M13 P13 S13 V13 Y13 AB13 AE13 AH13 AK13</xm:sqref>
        </x14:conditionalFormatting>
        <x14:conditionalFormatting xmlns:xm="http://schemas.microsoft.com/office/excel/2006/main">
          <x14:cfRule type="dataBar" id="{2F34FB3E-B52E-4D17-9FBE-F9BCE49A94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M3:M5</xm:sqref>
        </x14:conditionalFormatting>
        <x14:conditionalFormatting xmlns:xm="http://schemas.microsoft.com/office/excel/2006/main">
          <x14:cfRule type="dataBar" id="{FFFFEC1C-4FB5-43E2-9E10-837F5F0905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M10:M11</xm:sqref>
        </x14:conditionalFormatting>
        <x14:conditionalFormatting xmlns:xm="http://schemas.microsoft.com/office/excel/2006/main">
          <x14:cfRule type="dataBar" id="{D157A1C0-C13B-41A0-A685-E97C92AFC0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44746874-E0E8-42A9-B10A-D2AAD32FC1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P3:P5</xm:sqref>
        </x14:conditionalFormatting>
        <x14:conditionalFormatting xmlns:xm="http://schemas.microsoft.com/office/excel/2006/main">
          <x14:cfRule type="dataBar" id="{011A4DAA-AE95-49EC-9E7C-31C55ACEFA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P10:P11</xm:sqref>
        </x14:conditionalFormatting>
        <x14:conditionalFormatting xmlns:xm="http://schemas.microsoft.com/office/excel/2006/main">
          <x14:cfRule type="dataBar" id="{093D7509-0541-4D23-820C-76E9B6D66D81}">
            <x14:dataBar minLength="0" maxLength="100" gradient="0">
              <x14:cfvo type="autoMin"/>
              <x14:cfvo type="percent">
                <xm:f>100</xm:f>
              </x14:cfvo>
              <x14:negativeFillColor rgb="FFFF0000"/>
              <x14:axisColor rgb="FF000000"/>
            </x14:dataBar>
          </x14:cfRule>
          <xm:sqref>S3:S5 V3:V5 Y3:Y4</xm:sqref>
        </x14:conditionalFormatting>
        <x14:conditionalFormatting xmlns:xm="http://schemas.microsoft.com/office/excel/2006/main">
          <x14:cfRule type="dataBar" id="{E3032300-6648-49C6-9CC2-F06CCF3410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S10:S11</xm:sqref>
        </x14:conditionalFormatting>
        <x14:conditionalFormatting xmlns:xm="http://schemas.microsoft.com/office/excel/2006/main">
          <x14:cfRule type="dataBar" id="{C1D89E81-3577-4477-9B3C-F6E6973056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V10:V11</xm:sqref>
        </x14:conditionalFormatting>
        <x14:conditionalFormatting xmlns:xm="http://schemas.microsoft.com/office/excel/2006/main">
          <x14:cfRule type="dataBar" id="{8949F4F2-1BFE-4CDB-97EA-CCD1FE0433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Y5</xm:sqref>
        </x14:conditionalFormatting>
        <x14:conditionalFormatting xmlns:xm="http://schemas.microsoft.com/office/excel/2006/main">
          <x14:cfRule type="dataBar" id="{ECC53A5D-F6FC-44B9-8825-CDF869921A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Y10:Y11</xm:sqref>
        </x14:conditionalFormatting>
        <x14:conditionalFormatting xmlns:xm="http://schemas.microsoft.com/office/excel/2006/main">
          <x14:cfRule type="dataBar" id="{16CD1C69-8806-4605-8884-69E3B3E209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AB3:AB4</xm:sqref>
        </x14:conditionalFormatting>
        <x14:conditionalFormatting xmlns:xm="http://schemas.microsoft.com/office/excel/2006/main">
          <x14:cfRule type="dataBar" id="{B746FF53-FE66-4961-936A-79F79EF859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</xm:sqref>
        </x14:conditionalFormatting>
        <x14:conditionalFormatting xmlns:xm="http://schemas.microsoft.com/office/excel/2006/main">
          <x14:cfRule type="dataBar" id="{838618AD-A3B5-41AF-A0E5-CE449A132D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AB10:AB11</xm:sqref>
        </x14:conditionalFormatting>
        <x14:conditionalFormatting xmlns:xm="http://schemas.microsoft.com/office/excel/2006/main">
          <x14:cfRule type="dataBar" id="{97AF5DA3-D47C-4E38-84B0-C5FD2B4CB3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AE3:AE4</xm:sqref>
        </x14:conditionalFormatting>
        <x14:conditionalFormatting xmlns:xm="http://schemas.microsoft.com/office/excel/2006/main">
          <x14:cfRule type="dataBar" id="{9EFFD74C-9528-422D-A5DC-F1F330CE58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AE5</xm:sqref>
        </x14:conditionalFormatting>
        <x14:conditionalFormatting xmlns:xm="http://schemas.microsoft.com/office/excel/2006/main">
          <x14:cfRule type="dataBar" id="{4C0C3197-65BA-4EBE-B819-A264DEB8CB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AE10:AE11</xm:sqref>
        </x14:conditionalFormatting>
        <x14:conditionalFormatting xmlns:xm="http://schemas.microsoft.com/office/excel/2006/main">
          <x14:cfRule type="dataBar" id="{D8657CD1-E85F-469C-BC5F-A8D3DE3BF6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AH3:AH4</xm:sqref>
        </x14:conditionalFormatting>
        <x14:conditionalFormatting xmlns:xm="http://schemas.microsoft.com/office/excel/2006/main">
          <x14:cfRule type="dataBar" id="{ED52AF68-5C1D-4886-9DDF-170DDDFC60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AH5</xm:sqref>
        </x14:conditionalFormatting>
        <x14:conditionalFormatting xmlns:xm="http://schemas.microsoft.com/office/excel/2006/main">
          <x14:cfRule type="dataBar" id="{24282BE7-2B6D-42BD-969A-098B4A047C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AH10:AH11</xm:sqref>
        </x14:conditionalFormatting>
        <x14:conditionalFormatting xmlns:xm="http://schemas.microsoft.com/office/excel/2006/main">
          <x14:cfRule type="dataBar" id="{228264BB-E7B0-45FD-941D-D63D9B1345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AK3:AK4</xm:sqref>
        </x14:conditionalFormatting>
        <x14:conditionalFormatting xmlns:xm="http://schemas.microsoft.com/office/excel/2006/main">
          <x14:cfRule type="dataBar" id="{0623DD67-7ECC-480E-AFA1-04DF6CE5D8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</xm:sqref>
        </x14:conditionalFormatting>
        <x14:conditionalFormatting xmlns:xm="http://schemas.microsoft.com/office/excel/2006/main">
          <x14:cfRule type="dataBar" id="{5940F612-403D-487D-B004-7EF1509F8A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AK10:AK11</xm:sqref>
        </x14:conditionalFormatting>
        <x14:conditionalFormatting xmlns:xm="http://schemas.microsoft.com/office/excel/2006/main">
          <x14:cfRule type="dataBar" id="{38EF048C-560A-450D-8771-FFCF903D92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AN3:AN4</xm:sqref>
        </x14:conditionalFormatting>
        <x14:conditionalFormatting xmlns:xm="http://schemas.microsoft.com/office/excel/2006/main">
          <x14:cfRule type="dataBar" id="{A744C882-E1C4-4D01-9683-CD5DA61724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AN5</xm:sqref>
        </x14:conditionalFormatting>
        <x14:conditionalFormatting xmlns:xm="http://schemas.microsoft.com/office/excel/2006/main">
          <x14:cfRule type="dataBar" id="{BB20CCFC-A130-42FB-B790-4D865F4B2F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AN10:AN11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N24"/>
  <sheetViews>
    <sheetView showGridLines="0" zoomScale="82" zoomScaleNormal="82" workbookViewId="0">
      <pane xSplit="4" ySplit="2" topLeftCell="AC3" activePane="bottomRight" state="frozen"/>
      <selection pane="topRight" activeCell="F1" sqref="F1"/>
      <selection pane="bottomLeft" activeCell="A4" sqref="A4"/>
      <selection pane="bottomRight" sqref="A1:XFD1048576"/>
    </sheetView>
  </sheetViews>
  <sheetFormatPr baseColWidth="10" defaultColWidth="10.85546875" defaultRowHeight="12.75" x14ac:dyDescent="0.2"/>
  <cols>
    <col min="1" max="1" width="33" style="507" customWidth="1"/>
    <col min="2" max="2" width="27.42578125" style="508" bestFit="1" customWidth="1"/>
    <col min="3" max="3" width="16.140625" style="509" bestFit="1" customWidth="1"/>
    <col min="4" max="4" width="7.42578125" style="510" bestFit="1" customWidth="1"/>
    <col min="5" max="5" width="14.140625" style="508" customWidth="1"/>
    <col min="6" max="6" width="13.42578125" style="509" bestFit="1" customWidth="1"/>
    <col min="7" max="7" width="7.28515625" style="510" bestFit="1" customWidth="1"/>
    <col min="8" max="8" width="13.28515625" style="508" bestFit="1" customWidth="1"/>
    <col min="9" max="9" width="15" style="509" bestFit="1" customWidth="1"/>
    <col min="10" max="10" width="10.42578125" style="510" bestFit="1" customWidth="1"/>
    <col min="11" max="11" width="13.42578125" style="508" bestFit="1" customWidth="1"/>
    <col min="12" max="12" width="13.85546875" style="509" bestFit="1" customWidth="1"/>
    <col min="13" max="13" width="10.42578125" style="510" bestFit="1" customWidth="1"/>
    <col min="14" max="14" width="15.42578125" style="508" bestFit="1" customWidth="1"/>
    <col min="15" max="15" width="16.140625" style="509" bestFit="1" customWidth="1"/>
    <col min="16" max="16" width="13.42578125" style="510" customWidth="1"/>
    <col min="17" max="17" width="14.85546875" style="508" bestFit="1" customWidth="1"/>
    <col min="18" max="18" width="14.42578125" style="509" bestFit="1" customWidth="1"/>
    <col min="19" max="19" width="12.42578125" style="510" bestFit="1" customWidth="1"/>
    <col min="20" max="20" width="15" style="508" bestFit="1" customWidth="1"/>
    <col min="21" max="21" width="13.28515625" style="509" bestFit="1" customWidth="1"/>
    <col min="22" max="22" width="11.42578125" style="510" bestFit="1" customWidth="1"/>
    <col min="23" max="23" width="14.85546875" style="508" bestFit="1" customWidth="1"/>
    <col min="24" max="24" width="13.28515625" style="509" bestFit="1" customWidth="1"/>
    <col min="25" max="25" width="7.28515625" style="510" customWidth="1"/>
    <col min="26" max="26" width="15.42578125" style="508" customWidth="1"/>
    <col min="27" max="27" width="13.42578125" style="509" bestFit="1" customWidth="1"/>
    <col min="28" max="28" width="7.28515625" style="510" customWidth="1"/>
    <col min="29" max="29" width="15" style="508" bestFit="1" customWidth="1"/>
    <col min="30" max="30" width="15" style="509" bestFit="1" customWidth="1"/>
    <col min="31" max="31" width="9" style="510" bestFit="1" customWidth="1"/>
    <col min="32" max="32" width="15" style="508" bestFit="1" customWidth="1"/>
    <col min="33" max="33" width="13.28515625" style="509" bestFit="1" customWidth="1"/>
    <col min="34" max="34" width="7.28515625" style="510" customWidth="1"/>
    <col min="35" max="35" width="16.7109375" style="508" bestFit="1" customWidth="1"/>
    <col min="36" max="36" width="14" style="509" bestFit="1" customWidth="1"/>
    <col min="37" max="37" width="16.42578125" style="510" bestFit="1" customWidth="1"/>
    <col min="38" max="38" width="17.28515625" style="508" bestFit="1" customWidth="1"/>
    <col min="39" max="39" width="17.140625" style="509" bestFit="1" customWidth="1"/>
    <col min="40" max="40" width="7.28515625" style="510" customWidth="1"/>
    <col min="41" max="41" width="10.85546875" style="509"/>
    <col min="42" max="42" width="11.42578125" style="509" bestFit="1" customWidth="1"/>
    <col min="43" max="43" width="12.42578125" style="509" bestFit="1" customWidth="1"/>
    <col min="44" max="16384" width="10.85546875" style="509"/>
  </cols>
  <sheetData>
    <row r="1" spans="1:40" s="463" customFormat="1" ht="22.5" customHeight="1" x14ac:dyDescent="0.25">
      <c r="A1" s="751" t="s">
        <v>1170</v>
      </c>
      <c r="B1" s="753" t="s">
        <v>0</v>
      </c>
      <c r="C1" s="754"/>
      <c r="D1" s="755"/>
      <c r="E1" s="749">
        <v>45658</v>
      </c>
      <c r="F1" s="749"/>
      <c r="G1" s="750"/>
      <c r="H1" s="748">
        <v>45689</v>
      </c>
      <c r="I1" s="749"/>
      <c r="J1" s="750"/>
      <c r="K1" s="748">
        <v>45717</v>
      </c>
      <c r="L1" s="749"/>
      <c r="M1" s="750"/>
      <c r="N1" s="748">
        <v>45748</v>
      </c>
      <c r="O1" s="749"/>
      <c r="P1" s="750"/>
      <c r="Q1" s="748">
        <v>45778</v>
      </c>
      <c r="R1" s="749"/>
      <c r="S1" s="750"/>
      <c r="T1" s="748">
        <v>45809</v>
      </c>
      <c r="U1" s="749"/>
      <c r="V1" s="750"/>
      <c r="W1" s="748">
        <v>45839</v>
      </c>
      <c r="X1" s="749"/>
      <c r="Y1" s="750"/>
      <c r="Z1" s="748">
        <v>45870</v>
      </c>
      <c r="AA1" s="749"/>
      <c r="AB1" s="750"/>
      <c r="AC1" s="748">
        <v>45901</v>
      </c>
      <c r="AD1" s="749"/>
      <c r="AE1" s="750"/>
      <c r="AF1" s="748">
        <v>45931</v>
      </c>
      <c r="AG1" s="749"/>
      <c r="AH1" s="750"/>
      <c r="AI1" s="748">
        <v>45962</v>
      </c>
      <c r="AJ1" s="749"/>
      <c r="AK1" s="750"/>
      <c r="AL1" s="748">
        <v>45992</v>
      </c>
      <c r="AM1" s="749"/>
      <c r="AN1" s="750"/>
    </row>
    <row r="2" spans="1:40" s="469" customFormat="1" ht="17.100000000000001" customHeight="1" thickBot="1" x14ac:dyDescent="0.3">
      <c r="A2" s="752"/>
      <c r="B2" s="464" t="s">
        <v>1</v>
      </c>
      <c r="C2" s="465" t="s">
        <v>2</v>
      </c>
      <c r="D2" s="466" t="s">
        <v>3</v>
      </c>
      <c r="E2" s="467" t="s">
        <v>1</v>
      </c>
      <c r="F2" s="465" t="s">
        <v>2</v>
      </c>
      <c r="G2" s="465" t="s">
        <v>3</v>
      </c>
      <c r="H2" s="468" t="s">
        <v>1</v>
      </c>
      <c r="I2" s="465" t="s">
        <v>2</v>
      </c>
      <c r="J2" s="465" t="s">
        <v>3</v>
      </c>
      <c r="K2" s="468" t="s">
        <v>1</v>
      </c>
      <c r="L2" s="465" t="s">
        <v>2</v>
      </c>
      <c r="M2" s="465" t="s">
        <v>3</v>
      </c>
      <c r="N2" s="468" t="s">
        <v>1</v>
      </c>
      <c r="O2" s="465" t="s">
        <v>2</v>
      </c>
      <c r="P2" s="465" t="s">
        <v>3</v>
      </c>
      <c r="Q2" s="468" t="s">
        <v>1</v>
      </c>
      <c r="R2" s="465" t="s">
        <v>2</v>
      </c>
      <c r="S2" s="465" t="s">
        <v>3</v>
      </c>
      <c r="T2" s="468" t="s">
        <v>1</v>
      </c>
      <c r="U2" s="465" t="s">
        <v>2</v>
      </c>
      <c r="V2" s="465" t="s">
        <v>3</v>
      </c>
      <c r="W2" s="468" t="s">
        <v>1</v>
      </c>
      <c r="X2" s="465" t="s">
        <v>2</v>
      </c>
      <c r="Y2" s="465" t="s">
        <v>3</v>
      </c>
      <c r="Z2" s="468" t="s">
        <v>1</v>
      </c>
      <c r="AA2" s="465" t="s">
        <v>2</v>
      </c>
      <c r="AB2" s="465" t="s">
        <v>3</v>
      </c>
      <c r="AC2" s="468" t="s">
        <v>1</v>
      </c>
      <c r="AD2" s="465" t="s">
        <v>2</v>
      </c>
      <c r="AE2" s="465" t="s">
        <v>3</v>
      </c>
      <c r="AF2" s="468" t="s">
        <v>1</v>
      </c>
      <c r="AG2" s="465" t="s">
        <v>2</v>
      </c>
      <c r="AH2" s="465" t="s">
        <v>3</v>
      </c>
      <c r="AI2" s="468" t="s">
        <v>1</v>
      </c>
      <c r="AJ2" s="465" t="s">
        <v>2</v>
      </c>
      <c r="AK2" s="465" t="s">
        <v>3</v>
      </c>
      <c r="AL2" s="468" t="s">
        <v>1</v>
      </c>
      <c r="AM2" s="465" t="s">
        <v>2</v>
      </c>
      <c r="AN2" s="466" t="s">
        <v>3</v>
      </c>
    </row>
    <row r="3" spans="1:40" s="477" customFormat="1" ht="24.6" customHeight="1" x14ac:dyDescent="0.25">
      <c r="A3" s="470" t="s">
        <v>4</v>
      </c>
      <c r="B3" s="530">
        <f>E3+H3+K3+N3+Q3+T3+W3+Z3+AC3+AF3+AI3+AL3</f>
        <v>0</v>
      </c>
      <c r="C3" s="531">
        <f t="shared" ref="C3:C11" si="0">F3+I3+L3+O3+R3+U3+X3+AA3+AD3+AG3+AJ3+AM3</f>
        <v>0</v>
      </c>
      <c r="D3" s="472" t="e">
        <f>C3/B3</f>
        <v>#DIV/0!</v>
      </c>
      <c r="E3" s="473"/>
      <c r="F3" s="474"/>
      <c r="G3" s="475" t="e">
        <f>F3/E3</f>
        <v>#DIV/0!</v>
      </c>
      <c r="H3" s="473"/>
      <c r="I3" s="471"/>
      <c r="J3" s="476" t="e">
        <f t="shared" ref="J3" si="1">I3/H3</f>
        <v>#DIV/0!</v>
      </c>
      <c r="K3" s="473"/>
      <c r="L3" s="471"/>
      <c r="M3" s="475" t="e">
        <f t="shared" ref="M3:M4" si="2">L3/K3</f>
        <v>#DIV/0!</v>
      </c>
      <c r="N3" s="473"/>
      <c r="O3" s="471"/>
      <c r="P3" s="475" t="e">
        <f t="shared" ref="P3:P4" si="3">O3/N3</f>
        <v>#DIV/0!</v>
      </c>
      <c r="Q3" s="473"/>
      <c r="R3" s="471"/>
      <c r="S3" s="475" t="e">
        <f t="shared" ref="S3:S4" si="4">R3/Q3</f>
        <v>#DIV/0!</v>
      </c>
      <c r="T3" s="473"/>
      <c r="U3" s="471"/>
      <c r="V3" s="475" t="e">
        <f t="shared" ref="V3:V4" si="5">U3/T3</f>
        <v>#DIV/0!</v>
      </c>
      <c r="W3" s="473"/>
      <c r="X3" s="471"/>
      <c r="Y3" s="475" t="e">
        <f>X3/W3</f>
        <v>#DIV/0!</v>
      </c>
      <c r="Z3" s="473"/>
      <c r="AA3" s="471"/>
      <c r="AB3" s="475" t="e">
        <f>AA3/Z3</f>
        <v>#DIV/0!</v>
      </c>
      <c r="AC3" s="473"/>
      <c r="AD3" s="471"/>
      <c r="AE3" s="475" t="e">
        <f>AD3/AC3</f>
        <v>#DIV/0!</v>
      </c>
      <c r="AF3" s="473"/>
      <c r="AG3" s="471"/>
      <c r="AH3" s="475" t="e">
        <f>AG3/AF3</f>
        <v>#DIV/0!</v>
      </c>
      <c r="AI3" s="473"/>
      <c r="AJ3" s="471"/>
      <c r="AK3" s="475" t="e">
        <f>AJ3/AI3</f>
        <v>#DIV/0!</v>
      </c>
      <c r="AL3" s="473"/>
      <c r="AM3" s="471"/>
      <c r="AN3" s="472" t="e">
        <f>AM3/AL3</f>
        <v>#DIV/0!</v>
      </c>
    </row>
    <row r="4" spans="1:40" s="477" customFormat="1" ht="24.6" customHeight="1" x14ac:dyDescent="0.25">
      <c r="A4" s="478" t="s">
        <v>5</v>
      </c>
      <c r="B4" s="532">
        <f>E4+H4+K4+N4+Q4+T4+W4+Z4+AC4+AF4+AI4+AL4</f>
        <v>0</v>
      </c>
      <c r="C4" s="533">
        <f t="shared" si="0"/>
        <v>0</v>
      </c>
      <c r="D4" s="480" t="e">
        <f>C4/B4</f>
        <v>#DIV/0!</v>
      </c>
      <c r="E4" s="481"/>
      <c r="F4" s="482"/>
      <c r="G4" s="476" t="e">
        <f>F4/E4</f>
        <v>#DIV/0!</v>
      </c>
      <c r="H4" s="481"/>
      <c r="I4" s="482"/>
      <c r="J4" s="476" t="e">
        <f>I4/H4</f>
        <v>#DIV/0!</v>
      </c>
      <c r="K4" s="481"/>
      <c r="L4" s="483"/>
      <c r="M4" s="476" t="e">
        <f t="shared" si="2"/>
        <v>#DIV/0!</v>
      </c>
      <c r="N4" s="481"/>
      <c r="O4" s="483"/>
      <c r="P4" s="476" t="e">
        <f t="shared" si="3"/>
        <v>#DIV/0!</v>
      </c>
      <c r="Q4" s="481"/>
      <c r="R4" s="483"/>
      <c r="S4" s="476" t="e">
        <f t="shared" si="4"/>
        <v>#DIV/0!</v>
      </c>
      <c r="T4" s="481"/>
      <c r="U4" s="483"/>
      <c r="V4" s="476" t="e">
        <f t="shared" si="5"/>
        <v>#DIV/0!</v>
      </c>
      <c r="W4" s="481"/>
      <c r="X4" s="483"/>
      <c r="Y4" s="476" t="e">
        <f>X4/W4</f>
        <v>#DIV/0!</v>
      </c>
      <c r="Z4" s="481"/>
      <c r="AA4" s="483"/>
      <c r="AB4" s="476" t="e">
        <f>AA4/Z4</f>
        <v>#DIV/0!</v>
      </c>
      <c r="AC4" s="481"/>
      <c r="AD4" s="483"/>
      <c r="AE4" s="476" t="e">
        <f>AD4/AC4</f>
        <v>#DIV/0!</v>
      </c>
      <c r="AF4" s="481"/>
      <c r="AG4" s="483"/>
      <c r="AH4" s="476" t="e">
        <f>AG4/AF4</f>
        <v>#DIV/0!</v>
      </c>
      <c r="AI4" s="481"/>
      <c r="AJ4" s="483"/>
      <c r="AK4" s="476" t="e">
        <f>AJ4/AI4</f>
        <v>#DIV/0!</v>
      </c>
      <c r="AL4" s="481"/>
      <c r="AM4" s="483"/>
      <c r="AN4" s="480" t="e">
        <f>AM4/AL4</f>
        <v>#DIV/0!</v>
      </c>
    </row>
    <row r="5" spans="1:40" s="488" customFormat="1" ht="24.6" customHeight="1" x14ac:dyDescent="0.25">
      <c r="A5" s="478" t="s">
        <v>6</v>
      </c>
      <c r="B5" s="534"/>
      <c r="C5" s="533">
        <f t="shared" si="0"/>
        <v>0</v>
      </c>
      <c r="D5" s="484" t="e">
        <f>C5/C4</f>
        <v>#DIV/0!</v>
      </c>
      <c r="E5" s="485"/>
      <c r="F5" s="479"/>
      <c r="G5" s="486" t="e">
        <f>F5/F4</f>
        <v>#DIV/0!</v>
      </c>
      <c r="H5" s="487"/>
      <c r="I5" s="483"/>
      <c r="J5" s="476" t="e">
        <f>I5/I4</f>
        <v>#DIV/0!</v>
      </c>
      <c r="K5" s="487"/>
      <c r="L5" s="483"/>
      <c r="M5" s="486" t="e">
        <f>L5/L4</f>
        <v>#DIV/0!</v>
      </c>
      <c r="N5" s="487"/>
      <c r="O5" s="483"/>
      <c r="P5" s="486" t="e">
        <f>O5/O4</f>
        <v>#DIV/0!</v>
      </c>
      <c r="Q5" s="487"/>
      <c r="R5" s="483"/>
      <c r="S5" s="486" t="e">
        <f>R5/R4</f>
        <v>#DIV/0!</v>
      </c>
      <c r="T5" s="487"/>
      <c r="U5" s="483"/>
      <c r="V5" s="486" t="e">
        <f>U5/U4</f>
        <v>#DIV/0!</v>
      </c>
      <c r="W5" s="487"/>
      <c r="X5" s="483"/>
      <c r="Y5" s="486" t="e">
        <f>X5/X4</f>
        <v>#DIV/0!</v>
      </c>
      <c r="Z5" s="487"/>
      <c r="AA5" s="483"/>
      <c r="AB5" s="486" t="e">
        <f>AA5/AA4</f>
        <v>#DIV/0!</v>
      </c>
      <c r="AC5" s="487"/>
      <c r="AD5" s="483"/>
      <c r="AE5" s="486" t="e">
        <f>AD5/AD4</f>
        <v>#DIV/0!</v>
      </c>
      <c r="AF5" s="487"/>
      <c r="AG5" s="483"/>
      <c r="AH5" s="486" t="e">
        <f>AG5/AG4</f>
        <v>#DIV/0!</v>
      </c>
      <c r="AI5" s="487"/>
      <c r="AJ5" s="483"/>
      <c r="AK5" s="486" t="e">
        <f>AJ5/AJ4</f>
        <v>#DIV/0!</v>
      </c>
      <c r="AL5" s="487"/>
      <c r="AM5" s="483"/>
      <c r="AN5" s="484" t="e">
        <f>AM5/AM4</f>
        <v>#DIV/0!</v>
      </c>
    </row>
    <row r="6" spans="1:40" s="477" customFormat="1" ht="24.6" customHeight="1" x14ac:dyDescent="0.25">
      <c r="A6" s="489" t="s">
        <v>7</v>
      </c>
      <c r="B6" s="535">
        <f t="shared" ref="B6:B11" si="6">E6+H6+K6+N6+Q6+T6+W6+Z6+AC6+AF6+AI6+AL6</f>
        <v>0</v>
      </c>
      <c r="C6" s="429">
        <f t="shared" si="0"/>
        <v>0</v>
      </c>
      <c r="D6" s="492" t="e">
        <f>C6/B6</f>
        <v>#DIV/0!</v>
      </c>
      <c r="E6" s="490"/>
      <c r="F6" s="491"/>
      <c r="G6" s="492" t="e">
        <f t="shared" ref="G6:G9" si="7">F6/F5</f>
        <v>#DIV/0!</v>
      </c>
      <c r="H6" s="490"/>
      <c r="I6" s="491"/>
      <c r="J6" s="492" t="e">
        <f t="shared" ref="J6:J9" si="8">I6/I5</f>
        <v>#DIV/0!</v>
      </c>
      <c r="K6" s="490"/>
      <c r="L6" s="491"/>
      <c r="M6" s="492" t="e">
        <f t="shared" ref="M6:M9" si="9">L6/L5</f>
        <v>#DIV/0!</v>
      </c>
      <c r="N6" s="490"/>
      <c r="O6" s="491"/>
      <c r="P6" s="492" t="e">
        <f t="shared" ref="P6:P9" si="10">O6/O5</f>
        <v>#DIV/0!</v>
      </c>
      <c r="Q6" s="490"/>
      <c r="R6" s="491"/>
      <c r="S6" s="492" t="e">
        <f>R6/R5</f>
        <v>#DIV/0!</v>
      </c>
      <c r="T6" s="490"/>
      <c r="U6" s="491"/>
      <c r="V6" s="492" t="e">
        <f t="shared" ref="V6:V9" si="11">U6/U5</f>
        <v>#DIV/0!</v>
      </c>
      <c r="W6" s="490"/>
      <c r="X6" s="491"/>
      <c r="Y6" s="492" t="e">
        <f t="shared" ref="Y6:Y9" si="12">X6/X5</f>
        <v>#DIV/0!</v>
      </c>
      <c r="Z6" s="490"/>
      <c r="AA6" s="491"/>
      <c r="AB6" s="492" t="e">
        <f t="shared" ref="AB6:AB9" si="13">AA6/AA5</f>
        <v>#DIV/0!</v>
      </c>
      <c r="AC6" s="490"/>
      <c r="AD6" s="491"/>
      <c r="AE6" s="492" t="e">
        <f t="shared" ref="AE6:AE9" si="14">AD6/AD5</f>
        <v>#DIV/0!</v>
      </c>
      <c r="AF6" s="490"/>
      <c r="AG6" s="491"/>
      <c r="AH6" s="492" t="e">
        <f t="shared" ref="AH6:AH9" si="15">AG6/AG5</f>
        <v>#DIV/0!</v>
      </c>
      <c r="AI6" s="490"/>
      <c r="AJ6" s="491"/>
      <c r="AK6" s="492" t="e">
        <f t="shared" ref="AK6:AK9" si="16">AJ6/AJ5</f>
        <v>#DIV/0!</v>
      </c>
      <c r="AL6" s="490"/>
      <c r="AM6" s="491"/>
      <c r="AN6" s="492" t="e">
        <f t="shared" ref="AN6:AN9" si="17">AM6/AM5</f>
        <v>#DIV/0!</v>
      </c>
    </row>
    <row r="7" spans="1:40" s="477" customFormat="1" ht="24.6" customHeight="1" x14ac:dyDescent="0.25">
      <c r="A7" s="489" t="s">
        <v>8</v>
      </c>
      <c r="B7" s="535">
        <f t="shared" si="6"/>
        <v>0</v>
      </c>
      <c r="C7" s="429">
        <f t="shared" si="0"/>
        <v>0</v>
      </c>
      <c r="D7" s="492" t="e">
        <f>C7/B7</f>
        <v>#DIV/0!</v>
      </c>
      <c r="E7" s="490"/>
      <c r="F7" s="491"/>
      <c r="G7" s="492" t="e">
        <f t="shared" si="7"/>
        <v>#DIV/0!</v>
      </c>
      <c r="H7" s="490"/>
      <c r="I7" s="491"/>
      <c r="J7" s="492" t="e">
        <f t="shared" si="8"/>
        <v>#DIV/0!</v>
      </c>
      <c r="K7" s="490"/>
      <c r="L7" s="491"/>
      <c r="M7" s="492" t="e">
        <f t="shared" si="9"/>
        <v>#DIV/0!</v>
      </c>
      <c r="N7" s="490"/>
      <c r="O7" s="491"/>
      <c r="P7" s="492" t="e">
        <f t="shared" si="10"/>
        <v>#DIV/0!</v>
      </c>
      <c r="Q7" s="490"/>
      <c r="R7" s="491"/>
      <c r="S7" s="492" t="e">
        <f t="shared" ref="S7:S9" si="18">R7/R6</f>
        <v>#DIV/0!</v>
      </c>
      <c r="T7" s="490"/>
      <c r="U7" s="491"/>
      <c r="V7" s="492" t="e">
        <f t="shared" si="11"/>
        <v>#DIV/0!</v>
      </c>
      <c r="W7" s="490"/>
      <c r="X7" s="491"/>
      <c r="Y7" s="492" t="e">
        <f t="shared" si="12"/>
        <v>#DIV/0!</v>
      </c>
      <c r="Z7" s="490"/>
      <c r="AA7" s="491"/>
      <c r="AB7" s="492" t="e">
        <f t="shared" si="13"/>
        <v>#DIV/0!</v>
      </c>
      <c r="AC7" s="490"/>
      <c r="AD7" s="491"/>
      <c r="AE7" s="492" t="e">
        <f t="shared" si="14"/>
        <v>#DIV/0!</v>
      </c>
      <c r="AF7" s="490"/>
      <c r="AG7" s="491"/>
      <c r="AH7" s="492" t="e">
        <f t="shared" si="15"/>
        <v>#DIV/0!</v>
      </c>
      <c r="AI7" s="490"/>
      <c r="AJ7" s="491"/>
      <c r="AK7" s="492" t="e">
        <f t="shared" si="16"/>
        <v>#DIV/0!</v>
      </c>
      <c r="AL7" s="490"/>
      <c r="AM7" s="491"/>
      <c r="AN7" s="492" t="e">
        <f t="shared" si="17"/>
        <v>#DIV/0!</v>
      </c>
    </row>
    <row r="8" spans="1:40" s="477" customFormat="1" ht="24.6" customHeight="1" x14ac:dyDescent="0.25">
      <c r="A8" s="489" t="s">
        <v>9</v>
      </c>
      <c r="B8" s="535">
        <f t="shared" si="6"/>
        <v>0</v>
      </c>
      <c r="C8" s="429">
        <f t="shared" si="0"/>
        <v>0</v>
      </c>
      <c r="D8" s="492" t="e">
        <f>C8/B8</f>
        <v>#DIV/0!</v>
      </c>
      <c r="E8" s="490"/>
      <c r="F8" s="491"/>
      <c r="G8" s="492" t="e">
        <f t="shared" si="7"/>
        <v>#DIV/0!</v>
      </c>
      <c r="H8" s="490"/>
      <c r="I8" s="491"/>
      <c r="J8" s="492" t="e">
        <f t="shared" si="8"/>
        <v>#DIV/0!</v>
      </c>
      <c r="K8" s="490"/>
      <c r="L8" s="491"/>
      <c r="M8" s="492" t="e">
        <f t="shared" si="9"/>
        <v>#DIV/0!</v>
      </c>
      <c r="N8" s="490"/>
      <c r="O8" s="491"/>
      <c r="P8" s="492" t="e">
        <f t="shared" si="10"/>
        <v>#DIV/0!</v>
      </c>
      <c r="Q8" s="490"/>
      <c r="R8" s="491"/>
      <c r="S8" s="492" t="e">
        <f t="shared" si="18"/>
        <v>#DIV/0!</v>
      </c>
      <c r="T8" s="490"/>
      <c r="U8" s="491"/>
      <c r="V8" s="492" t="e">
        <f t="shared" si="11"/>
        <v>#DIV/0!</v>
      </c>
      <c r="W8" s="490"/>
      <c r="X8" s="491"/>
      <c r="Y8" s="492" t="e">
        <f t="shared" si="12"/>
        <v>#DIV/0!</v>
      </c>
      <c r="Z8" s="490"/>
      <c r="AA8" s="491"/>
      <c r="AB8" s="492" t="e">
        <f t="shared" si="13"/>
        <v>#DIV/0!</v>
      </c>
      <c r="AC8" s="490"/>
      <c r="AD8" s="491"/>
      <c r="AE8" s="492" t="e">
        <f t="shared" si="14"/>
        <v>#DIV/0!</v>
      </c>
      <c r="AF8" s="490"/>
      <c r="AG8" s="491"/>
      <c r="AH8" s="492" t="e">
        <f t="shared" si="15"/>
        <v>#DIV/0!</v>
      </c>
      <c r="AI8" s="490"/>
      <c r="AJ8" s="491"/>
      <c r="AK8" s="492" t="e">
        <f t="shared" si="16"/>
        <v>#DIV/0!</v>
      </c>
      <c r="AL8" s="490"/>
      <c r="AM8" s="491"/>
      <c r="AN8" s="492" t="e">
        <f t="shared" si="17"/>
        <v>#DIV/0!</v>
      </c>
    </row>
    <row r="9" spans="1:40" s="477" customFormat="1" ht="24.6" customHeight="1" x14ac:dyDescent="0.25">
      <c r="A9" s="489" t="s">
        <v>10</v>
      </c>
      <c r="B9" s="535">
        <f t="shared" si="6"/>
        <v>0</v>
      </c>
      <c r="C9" s="429">
        <f t="shared" si="0"/>
        <v>0</v>
      </c>
      <c r="D9" s="492" t="e">
        <f t="shared" ref="D9:D11" si="19">C9/B9</f>
        <v>#DIV/0!</v>
      </c>
      <c r="E9" s="490"/>
      <c r="F9" s="491"/>
      <c r="G9" s="492" t="e">
        <f t="shared" si="7"/>
        <v>#DIV/0!</v>
      </c>
      <c r="H9" s="490"/>
      <c r="I9" s="491"/>
      <c r="J9" s="492" t="e">
        <f t="shared" si="8"/>
        <v>#DIV/0!</v>
      </c>
      <c r="K9" s="490"/>
      <c r="L9" s="491"/>
      <c r="M9" s="492" t="e">
        <f t="shared" si="9"/>
        <v>#DIV/0!</v>
      </c>
      <c r="N9" s="490"/>
      <c r="O9" s="491"/>
      <c r="P9" s="492" t="e">
        <f t="shared" si="10"/>
        <v>#DIV/0!</v>
      </c>
      <c r="Q9" s="490"/>
      <c r="R9" s="491"/>
      <c r="S9" s="492" t="e">
        <f t="shared" si="18"/>
        <v>#DIV/0!</v>
      </c>
      <c r="T9" s="490"/>
      <c r="U9" s="491"/>
      <c r="V9" s="492" t="e">
        <f t="shared" si="11"/>
        <v>#DIV/0!</v>
      </c>
      <c r="W9" s="490"/>
      <c r="X9" s="491"/>
      <c r="Y9" s="492" t="e">
        <f t="shared" si="12"/>
        <v>#DIV/0!</v>
      </c>
      <c r="Z9" s="490"/>
      <c r="AA9" s="491"/>
      <c r="AB9" s="492" t="e">
        <f t="shared" si="13"/>
        <v>#DIV/0!</v>
      </c>
      <c r="AC9" s="490"/>
      <c r="AD9" s="491"/>
      <c r="AE9" s="492" t="e">
        <f t="shared" si="14"/>
        <v>#DIV/0!</v>
      </c>
      <c r="AF9" s="490"/>
      <c r="AG9" s="491"/>
      <c r="AH9" s="492" t="e">
        <f t="shared" si="15"/>
        <v>#DIV/0!</v>
      </c>
      <c r="AI9" s="490"/>
      <c r="AJ9" s="491"/>
      <c r="AK9" s="492" t="e">
        <f t="shared" si="16"/>
        <v>#DIV/0!</v>
      </c>
      <c r="AL9" s="490"/>
      <c r="AM9" s="491"/>
      <c r="AN9" s="492" t="e">
        <f t="shared" si="17"/>
        <v>#DIV/0!</v>
      </c>
    </row>
    <row r="10" spans="1:40" s="477" customFormat="1" ht="24.6" customHeight="1" x14ac:dyDescent="0.25">
      <c r="A10" s="493" t="s">
        <v>11</v>
      </c>
      <c r="B10" s="536">
        <f t="shared" si="6"/>
        <v>0</v>
      </c>
      <c r="C10" s="430">
        <f t="shared" si="0"/>
        <v>0</v>
      </c>
      <c r="D10" s="496" t="e">
        <f t="shared" si="19"/>
        <v>#DIV/0!</v>
      </c>
      <c r="E10" s="494">
        <f>SUM(E6:E9)</f>
        <v>0</v>
      </c>
      <c r="F10" s="495">
        <f>SUM(F6:F9)</f>
        <v>0</v>
      </c>
      <c r="G10" s="496" t="e">
        <f>F10/E10</f>
        <v>#DIV/0!</v>
      </c>
      <c r="H10" s="494">
        <f>SUM(H6:H9)</f>
        <v>0</v>
      </c>
      <c r="I10" s="495">
        <f>SUM(I6:I9)</f>
        <v>0</v>
      </c>
      <c r="J10" s="496" t="e">
        <f>I10/H10</f>
        <v>#DIV/0!</v>
      </c>
      <c r="K10" s="494">
        <f>SUM(K6:K9)</f>
        <v>0</v>
      </c>
      <c r="L10" s="495">
        <f>SUM(L6:L9)</f>
        <v>0</v>
      </c>
      <c r="M10" s="496" t="e">
        <f>L10/K10</f>
        <v>#DIV/0!</v>
      </c>
      <c r="N10" s="494">
        <f>SUM(N6:N9)</f>
        <v>0</v>
      </c>
      <c r="O10" s="495">
        <f>SUM(O6:O9)</f>
        <v>0</v>
      </c>
      <c r="P10" s="496" t="e">
        <f>O10/N10</f>
        <v>#DIV/0!</v>
      </c>
      <c r="Q10" s="494">
        <f>SUM(Q6:Q9)</f>
        <v>0</v>
      </c>
      <c r="R10" s="495">
        <f>SUM(R6:R9)</f>
        <v>0</v>
      </c>
      <c r="S10" s="496" t="e">
        <f>R10/Q10</f>
        <v>#DIV/0!</v>
      </c>
      <c r="T10" s="494">
        <f>SUM(T6:T9)</f>
        <v>0</v>
      </c>
      <c r="U10" s="495">
        <f>SUM(U6:U9)</f>
        <v>0</v>
      </c>
      <c r="V10" s="496" t="e">
        <f>U10/T10</f>
        <v>#DIV/0!</v>
      </c>
      <c r="W10" s="494">
        <f>SUM(W6:W9)</f>
        <v>0</v>
      </c>
      <c r="X10" s="495">
        <f>SUM(X6:X9)</f>
        <v>0</v>
      </c>
      <c r="Y10" s="496" t="e">
        <f>X10/W10</f>
        <v>#DIV/0!</v>
      </c>
      <c r="Z10" s="494">
        <f>SUM(Z6:Z9)</f>
        <v>0</v>
      </c>
      <c r="AA10" s="495">
        <f>SUM(AA6:AA9)</f>
        <v>0</v>
      </c>
      <c r="AB10" s="496" t="e">
        <f>AA10/Z10</f>
        <v>#DIV/0!</v>
      </c>
      <c r="AC10" s="494">
        <f>SUM(AC6:AC9)</f>
        <v>0</v>
      </c>
      <c r="AD10" s="495">
        <f>SUM(AD6:AD9)</f>
        <v>0</v>
      </c>
      <c r="AE10" s="496" t="e">
        <f>AD10/AC10</f>
        <v>#DIV/0!</v>
      </c>
      <c r="AF10" s="494">
        <f>SUM(AF6:AF9)</f>
        <v>0</v>
      </c>
      <c r="AG10" s="495">
        <f>SUM(AG6:AG9)</f>
        <v>0</v>
      </c>
      <c r="AH10" s="496" t="e">
        <f>AG10/AF10</f>
        <v>#DIV/0!</v>
      </c>
      <c r="AI10" s="494">
        <f>SUM(AI6:AI9)</f>
        <v>0</v>
      </c>
      <c r="AJ10" s="495">
        <f>SUM(AJ6:AJ9)</f>
        <v>0</v>
      </c>
      <c r="AK10" s="496" t="e">
        <f>AJ10/AI10</f>
        <v>#DIV/0!</v>
      </c>
      <c r="AL10" s="494">
        <f>SUM(AL6:AL9)</f>
        <v>0</v>
      </c>
      <c r="AM10" s="495">
        <f>SUM(AM6:AM9)</f>
        <v>0</v>
      </c>
      <c r="AN10" s="496" t="e">
        <f>AM10/AL10</f>
        <v>#DIV/0!</v>
      </c>
    </row>
    <row r="11" spans="1:40" s="488" customFormat="1" ht="24.6" customHeight="1" thickBot="1" x14ac:dyDescent="0.3">
      <c r="A11" s="497" t="s">
        <v>12</v>
      </c>
      <c r="B11" s="431">
        <f t="shared" si="6"/>
        <v>0</v>
      </c>
      <c r="C11" s="432">
        <f t="shared" si="0"/>
        <v>0</v>
      </c>
      <c r="D11" s="500" t="e">
        <f t="shared" si="19"/>
        <v>#DIV/0!</v>
      </c>
      <c r="E11" s="498"/>
      <c r="F11" s="499"/>
      <c r="G11" s="500" t="e">
        <f>F11/E11</f>
        <v>#DIV/0!</v>
      </c>
      <c r="H11" s="498"/>
      <c r="I11" s="499"/>
      <c r="J11" s="500" t="e">
        <f>I11/H11</f>
        <v>#DIV/0!</v>
      </c>
      <c r="K11" s="498"/>
      <c r="L11" s="499"/>
      <c r="M11" s="500" t="e">
        <f>L11/K11</f>
        <v>#DIV/0!</v>
      </c>
      <c r="N11" s="498"/>
      <c r="O11" s="499"/>
      <c r="P11" s="500" t="e">
        <f>O11/N11</f>
        <v>#DIV/0!</v>
      </c>
      <c r="Q11" s="498"/>
      <c r="R11" s="499"/>
      <c r="S11" s="500" t="e">
        <f>R11/Q11</f>
        <v>#DIV/0!</v>
      </c>
      <c r="T11" s="498"/>
      <c r="U11" s="499"/>
      <c r="V11" s="500" t="e">
        <f>U11/T11</f>
        <v>#DIV/0!</v>
      </c>
      <c r="W11" s="498"/>
      <c r="X11" s="499"/>
      <c r="Y11" s="500" t="e">
        <f>X11/W11</f>
        <v>#DIV/0!</v>
      </c>
      <c r="Z11" s="498"/>
      <c r="AA11" s="499"/>
      <c r="AB11" s="500" t="e">
        <f>AA11/Z11</f>
        <v>#DIV/0!</v>
      </c>
      <c r="AC11" s="498"/>
      <c r="AD11" s="499"/>
      <c r="AE11" s="500" t="e">
        <f>AD11/AC11</f>
        <v>#DIV/0!</v>
      </c>
      <c r="AF11" s="498"/>
      <c r="AG11" s="499"/>
      <c r="AH11" s="500" t="e">
        <f>AG11/AF11</f>
        <v>#DIV/0!</v>
      </c>
      <c r="AI11" s="498"/>
      <c r="AJ11" s="499"/>
      <c r="AK11" s="500" t="e">
        <f>AJ11/AI11</f>
        <v>#DIV/0!</v>
      </c>
      <c r="AL11" s="498"/>
      <c r="AM11" s="499"/>
      <c r="AN11" s="500" t="e">
        <f>AM11/AL11</f>
        <v>#DIV/0!</v>
      </c>
    </row>
    <row r="12" spans="1:40" x14ac:dyDescent="0.2">
      <c r="K12" s="511"/>
      <c r="L12" s="511"/>
      <c r="M12" s="512"/>
    </row>
    <row r="13" spans="1:40" x14ac:dyDescent="0.2">
      <c r="B13" s="513"/>
      <c r="E13" s="514">
        <f>+E11</f>
        <v>0</v>
      </c>
      <c r="F13" s="514">
        <f>+F11</f>
        <v>0</v>
      </c>
      <c r="G13" s="500" t="e">
        <f>F13/E13</f>
        <v>#DIV/0!</v>
      </c>
      <c r="H13" s="514">
        <f>+H11+E13</f>
        <v>0</v>
      </c>
      <c r="I13" s="514">
        <f>+I11+F13</f>
        <v>0</v>
      </c>
      <c r="J13" s="500" t="e">
        <f t="shared" ref="J13" si="20">I13/H13</f>
        <v>#DIV/0!</v>
      </c>
      <c r="K13" s="514">
        <f>+K11+H13</f>
        <v>0</v>
      </c>
      <c r="L13" s="514">
        <f>+L11+I13</f>
        <v>0</v>
      </c>
      <c r="M13" s="500" t="e">
        <f t="shared" ref="M13" si="21">L13/K13</f>
        <v>#DIV/0!</v>
      </c>
      <c r="N13" s="514">
        <f>+N11+K13</f>
        <v>0</v>
      </c>
      <c r="O13" s="514">
        <f>+O11+L13</f>
        <v>0</v>
      </c>
      <c r="P13" s="500" t="e">
        <f>O13/N13</f>
        <v>#DIV/0!</v>
      </c>
      <c r="Q13" s="514">
        <f>+Q11+N13</f>
        <v>0</v>
      </c>
      <c r="R13" s="514">
        <f>+R11+O13</f>
        <v>0</v>
      </c>
      <c r="S13" s="500" t="e">
        <f t="shared" ref="S13" si="22">R13/Q13</f>
        <v>#DIV/0!</v>
      </c>
      <c r="T13" s="514">
        <f>+T11+Q13</f>
        <v>0</v>
      </c>
      <c r="U13" s="514">
        <f>+U11+R13</f>
        <v>0</v>
      </c>
      <c r="V13" s="500" t="e">
        <f t="shared" ref="V13" si="23">U13/T13</f>
        <v>#DIV/0!</v>
      </c>
      <c r="W13" s="514">
        <f>+W11+T13</f>
        <v>0</v>
      </c>
      <c r="X13" s="514">
        <f>+X11+U13</f>
        <v>0</v>
      </c>
      <c r="Y13" s="500" t="e">
        <f t="shared" ref="Y13" si="24">X13/W13</f>
        <v>#DIV/0!</v>
      </c>
      <c r="Z13" s="514">
        <f>+Z11+W13</f>
        <v>0</v>
      </c>
      <c r="AA13" s="514">
        <f>+AA11+X13</f>
        <v>0</v>
      </c>
      <c r="AB13" s="500" t="e">
        <f t="shared" ref="AB13" si="25">AA13/Z13</f>
        <v>#DIV/0!</v>
      </c>
      <c r="AC13" s="514">
        <f>+AC11+Z13</f>
        <v>0</v>
      </c>
      <c r="AD13" s="514">
        <f>+AD11+AA13</f>
        <v>0</v>
      </c>
      <c r="AE13" s="500" t="e">
        <f t="shared" ref="AE13" si="26">AD13/AC13</f>
        <v>#DIV/0!</v>
      </c>
      <c r="AF13" s="514">
        <f>+AF11+AC13</f>
        <v>0</v>
      </c>
      <c r="AG13" s="514">
        <f>+AG11+AD13</f>
        <v>0</v>
      </c>
      <c r="AH13" s="500" t="e">
        <f t="shared" ref="AH13" si="27">AG13/AF13</f>
        <v>#DIV/0!</v>
      </c>
      <c r="AI13" s="514">
        <f>+AI11+AF13</f>
        <v>0</v>
      </c>
      <c r="AJ13" s="514">
        <f>+AJ11+AG13</f>
        <v>0</v>
      </c>
      <c r="AK13" s="500" t="e">
        <f t="shared" ref="AK13" si="28">AJ13/AI13</f>
        <v>#DIV/0!</v>
      </c>
    </row>
    <row r="14" spans="1:40" x14ac:dyDescent="0.2">
      <c r="A14" s="515"/>
      <c r="B14" s="516"/>
      <c r="C14" s="517"/>
      <c r="E14" s="518"/>
      <c r="F14" s="518"/>
      <c r="H14" s="518"/>
      <c r="I14" s="518"/>
      <c r="L14" s="519"/>
      <c r="M14" s="520"/>
      <c r="N14" s="519"/>
      <c r="O14" s="519"/>
      <c r="P14" s="520"/>
      <c r="Q14" s="519"/>
      <c r="R14" s="519"/>
      <c r="S14" s="520"/>
      <c r="T14" s="521"/>
      <c r="U14" s="521"/>
      <c r="V14" s="522"/>
      <c r="AC14" s="511"/>
      <c r="AD14" s="511"/>
      <c r="AE14" s="523"/>
      <c r="AF14" s="511"/>
      <c r="AG14" s="511"/>
      <c r="AH14" s="523"/>
      <c r="AI14" s="511"/>
      <c r="AJ14" s="511"/>
      <c r="AK14" s="523"/>
      <c r="AL14" s="511"/>
      <c r="AM14" s="511"/>
      <c r="AN14" s="523"/>
    </row>
    <row r="15" spans="1:40" x14ac:dyDescent="0.2">
      <c r="A15" s="524"/>
      <c r="B15" s="511"/>
      <c r="C15" s="518"/>
      <c r="D15" s="525"/>
      <c r="L15" s="519"/>
      <c r="M15" s="520"/>
      <c r="N15" s="519"/>
      <c r="O15" s="519"/>
      <c r="P15" s="520"/>
      <c r="Q15" s="519"/>
      <c r="R15" s="519"/>
      <c r="S15" s="523"/>
      <c r="AI15" s="511"/>
      <c r="AJ15" s="511"/>
      <c r="AK15" s="523"/>
      <c r="AL15" s="511"/>
      <c r="AM15" s="511"/>
      <c r="AN15" s="523"/>
    </row>
    <row r="16" spans="1:40" x14ac:dyDescent="0.2">
      <c r="B16" s="511"/>
      <c r="H16" s="518"/>
      <c r="I16" s="518"/>
      <c r="L16" s="526"/>
      <c r="M16" s="527"/>
      <c r="N16" s="526"/>
      <c r="O16" s="526"/>
      <c r="P16" s="527"/>
      <c r="Q16" s="526"/>
      <c r="R16" s="526"/>
      <c r="AI16" s="511"/>
      <c r="AJ16" s="511"/>
      <c r="AK16" s="523"/>
      <c r="AL16" s="511"/>
      <c r="AM16" s="511"/>
      <c r="AN16" s="523"/>
    </row>
    <row r="17" spans="1:40" x14ac:dyDescent="0.2">
      <c r="B17" s="511"/>
      <c r="C17" s="511"/>
      <c r="D17" s="528"/>
      <c r="L17" s="519"/>
      <c r="M17" s="520"/>
      <c r="N17" s="519"/>
      <c r="O17" s="519"/>
      <c r="P17" s="520"/>
      <c r="Q17" s="519"/>
      <c r="R17" s="519"/>
    </row>
    <row r="18" spans="1:40" x14ac:dyDescent="0.2">
      <c r="A18" s="524"/>
      <c r="B18" s="511"/>
      <c r="C18" s="519"/>
      <c r="D18" s="520"/>
      <c r="AI18" s="511"/>
      <c r="AJ18" s="511"/>
      <c r="AK18" s="523"/>
      <c r="AL18" s="511"/>
      <c r="AM18" s="511"/>
      <c r="AN18" s="523"/>
    </row>
    <row r="19" spans="1:40" x14ac:dyDescent="0.2">
      <c r="A19" s="515"/>
      <c r="B19" s="511"/>
      <c r="C19" s="519"/>
      <c r="D19" s="520"/>
      <c r="E19" s="515"/>
      <c r="Q19" s="511"/>
      <c r="R19" s="511"/>
      <c r="S19" s="529"/>
    </row>
    <row r="22" spans="1:40" x14ac:dyDescent="0.2">
      <c r="E22" s="514"/>
      <c r="F22" s="514"/>
      <c r="I22" s="509" t="s">
        <v>15</v>
      </c>
    </row>
    <row r="23" spans="1:40" x14ac:dyDescent="0.2">
      <c r="E23" s="514"/>
      <c r="F23" s="514"/>
    </row>
    <row r="24" spans="1:40" x14ac:dyDescent="0.2">
      <c r="E24" s="514"/>
      <c r="F24" s="514"/>
    </row>
  </sheetData>
  <mergeCells count="14">
    <mergeCell ref="N1:P1"/>
    <mergeCell ref="A1:A2"/>
    <mergeCell ref="B1:D1"/>
    <mergeCell ref="E1:G1"/>
    <mergeCell ref="H1:J1"/>
    <mergeCell ref="K1:M1"/>
    <mergeCell ref="AI1:AK1"/>
    <mergeCell ref="AL1:AN1"/>
    <mergeCell ref="Q1:S1"/>
    <mergeCell ref="T1:V1"/>
    <mergeCell ref="W1:Y1"/>
    <mergeCell ref="Z1:AB1"/>
    <mergeCell ref="AC1:AE1"/>
    <mergeCell ref="AF1:AH1"/>
  </mergeCells>
  <conditionalFormatting sqref="D3">
    <cfRule type="dataBar" priority="16">
      <dataBar>
        <cfvo type="min"/>
        <cfvo type="percent" val="100"/>
        <color rgb="FFFF555A"/>
      </dataBar>
      <extLst>
        <ext xmlns:x14="http://schemas.microsoft.com/office/spreadsheetml/2009/9/main" uri="{B025F937-C7B1-47D3-B67F-A62EFF666E3E}">
          <x14:id>{964990FD-DF89-4C86-81C7-9350FF06C782}</x14:id>
        </ext>
      </extLst>
    </cfRule>
  </conditionalFormatting>
  <conditionalFormatting sqref="D3:D5 D10:D11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{9CE41711-399A-4315-A7E9-28B2F269E985}</x14:id>
        </ext>
      </extLst>
    </cfRule>
  </conditionalFormatting>
  <conditionalFormatting sqref="G3:G5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{0CFD77C3-2BC5-4F4B-B089-01C355DC0F52}</x14:id>
        </ext>
      </extLst>
    </cfRule>
  </conditionalFormatting>
  <conditionalFormatting sqref="G10:G11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{AAA11EF7-045C-4BFC-A4A6-240AF47E44BF}</x14:id>
        </ext>
      </extLst>
    </cfRule>
  </conditionalFormatting>
  <conditionalFormatting sqref="G1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{9FBE78B2-4BC2-4ACA-9240-0CA7B3443223}</x14:id>
        </ext>
      </extLst>
    </cfRule>
  </conditionalFormatting>
  <conditionalFormatting sqref="J3:J5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{00342221-84EE-44E5-A49A-40AE9881A10E}</x14:id>
        </ext>
      </extLst>
    </cfRule>
  </conditionalFormatting>
  <conditionalFormatting sqref="J10:J1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{D637B6A6-6FA1-4537-B7A6-61D9F6F53E18}</x14:id>
        </ext>
      </extLst>
    </cfRule>
  </conditionalFormatting>
  <conditionalFormatting sqref="J13 M13 P13 S13 V13 Y13 AB13 AE13 AH13 AK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{14A35C75-5661-4D4E-AA4F-AFA532A217A0}</x14:id>
        </ext>
      </extLst>
    </cfRule>
  </conditionalFormatting>
  <conditionalFormatting sqref="M3:M5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{10399BD9-41FF-464C-BB45-9BE3057D7CC6}</x14:id>
        </ext>
      </extLst>
    </cfRule>
  </conditionalFormatting>
  <conditionalFormatting sqref="M10:M1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{B3D2C89E-B4D2-4175-84C1-7660C4D0DE5F}</x14:id>
        </ext>
      </extLst>
    </cfRule>
  </conditionalFormatting>
  <conditionalFormatting sqref="M12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{555D8E97-D9C6-48CC-8A1A-F4C280DF7115}</x14:id>
        </ext>
      </extLst>
    </cfRule>
  </conditionalFormatting>
  <conditionalFormatting sqref="P3:P5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{ADD26893-BF58-4F89-8455-3E13DE5EDA2D}</x14:id>
        </ext>
      </extLst>
    </cfRule>
  </conditionalFormatting>
  <conditionalFormatting sqref="P10:P11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{CD03DD8A-6263-4CCE-BF8F-E5C3A41863DA}</x14:id>
        </ext>
      </extLst>
    </cfRule>
  </conditionalFormatting>
  <conditionalFormatting sqref="S3:S5 V3:V5 Y3:Y4">
    <cfRule type="dataBar" priority="23">
      <dataBar>
        <cfvo type="min"/>
        <cfvo type="percent" val="100"/>
        <color rgb="FF63C384"/>
      </dataBar>
      <extLst>
        <ext xmlns:x14="http://schemas.microsoft.com/office/spreadsheetml/2009/9/main" uri="{B025F937-C7B1-47D3-B67F-A62EFF666E3E}">
          <x14:id>{FF84D4FC-96C6-4FCD-8E81-535B960B6C63}</x14:id>
        </ext>
      </extLst>
    </cfRule>
  </conditionalFormatting>
  <conditionalFormatting sqref="S10:S1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{1338E1F9-DF69-4EA7-97D2-EBDD6E488A6D}</x14:id>
        </ext>
      </extLst>
    </cfRule>
  </conditionalFormatting>
  <conditionalFormatting sqref="V10:V11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{3EB7337A-F49F-4BB5-8BC1-44AD0D5CF452}</x14:id>
        </ext>
      </extLst>
    </cfRule>
  </conditionalFormatting>
  <conditionalFormatting sqref="Y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{31AB68F3-BAEB-4ED1-9FDE-2DD56B7FBE9D}</x14:id>
        </ext>
      </extLst>
    </cfRule>
  </conditionalFormatting>
  <conditionalFormatting sqref="Y10:Y11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{5DBDD8C0-B559-4374-905F-5FD5DAD91AAF}</x14:id>
        </ext>
      </extLst>
    </cfRule>
  </conditionalFormatting>
  <conditionalFormatting sqref="AB3:AB4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{7A13ECB4-BC28-4861-8BCC-45F96ADE3282}</x14:id>
        </ext>
      </extLst>
    </cfRule>
  </conditionalFormatting>
  <conditionalFormatting sqref="AB5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{DB11E388-0BAF-49EF-94E7-05A3A04C3D98}</x14:id>
        </ext>
      </extLst>
    </cfRule>
  </conditionalFormatting>
  <conditionalFormatting sqref="AB10:AB1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{BBCBB7A4-52B3-4F17-90F2-C97004EFD95F}</x14:id>
        </ext>
      </extLst>
    </cfRule>
  </conditionalFormatting>
  <conditionalFormatting sqref="AE3:AE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{47077931-4DF8-4317-BD13-C5EB7797FC91}</x14:id>
        </ext>
      </extLst>
    </cfRule>
  </conditionalFormatting>
  <conditionalFormatting sqref="AE5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{ADDC0820-A3EB-4FEA-A015-8F23CEA2CECA}</x14:id>
        </ext>
      </extLst>
    </cfRule>
  </conditionalFormatting>
  <conditionalFormatting sqref="AE10:AE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{0EDC8190-7D00-4C6A-A2C9-0E22D2CF8F08}</x14:id>
        </ext>
      </extLst>
    </cfRule>
  </conditionalFormatting>
  <conditionalFormatting sqref="AH3:AH4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{F6C7D453-1C17-4CC2-918D-8C1A31D73ECF}</x14:id>
        </ext>
      </extLst>
    </cfRule>
  </conditionalFormatting>
  <conditionalFormatting sqref="AH5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{1D99E0A1-619F-403B-AFFB-CC8606713773}</x14:id>
        </ext>
      </extLst>
    </cfRule>
  </conditionalFormatting>
  <conditionalFormatting sqref="AH10:AH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{21786F7D-100B-4D45-99A5-A4C91B99E1C0}</x14:id>
        </ext>
      </extLst>
    </cfRule>
  </conditionalFormatting>
  <conditionalFormatting sqref="AK3:AK4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{CB6239DC-80CC-40C4-B90E-454B23A26716}</x14:id>
        </ext>
      </extLst>
    </cfRule>
  </conditionalFormatting>
  <conditionalFormatting sqref="AK5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{8F4D1D45-1A26-4EA9-8E9D-70F89E90ACD1}</x14:id>
        </ext>
      </extLst>
    </cfRule>
  </conditionalFormatting>
  <conditionalFormatting sqref="AK10:AK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{6D957C6F-088D-4BBD-B37A-BBF47503B4FD}</x14:id>
        </ext>
      </extLst>
    </cfRule>
  </conditionalFormatting>
  <conditionalFormatting sqref="AN3:AN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{6635B221-B035-407D-AD70-36C7E0ED2450}</x14:id>
        </ext>
      </extLst>
    </cfRule>
  </conditionalFormatting>
  <conditionalFormatting sqref="AN5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{35A8AB9A-576D-4284-BE6C-73BF67A5A5D8}</x14:id>
        </ext>
      </extLst>
    </cfRule>
  </conditionalFormatting>
  <conditionalFormatting sqref="AN10:AN1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{EC1F81AB-C6F8-48F8-BC74-157638364F05}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4990FD-DF89-4C86-81C7-9350FF06C782}">
            <x14:dataBar minLength="0" maxLength="100" border="1" negativeBarBorderColorSameAsPositive="0">
              <x14:cfvo type="autoMin"/>
              <x14:cfvo type="percent">
                <xm:f>100</xm:f>
              </x14:cfvo>
              <x14:borderColor rgb="FFFF555A"/>
              <x14:negativeFillColor rgb="FFFF0000"/>
              <x14:negativeBorderColor rgb="FFFF0000"/>
              <x14:axisColor rgb="FF000000"/>
            </x14:dataBar>
          </x14:cfRule>
          <xm:sqref>D3</xm:sqref>
        </x14:conditionalFormatting>
        <x14:conditionalFormatting xmlns:xm="http://schemas.microsoft.com/office/excel/2006/main">
          <x14:cfRule type="dataBar" id="{9CE41711-399A-4315-A7E9-28B2F269E9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D3:D5 D10:D11</xm:sqref>
        </x14:conditionalFormatting>
        <x14:conditionalFormatting xmlns:xm="http://schemas.microsoft.com/office/excel/2006/main">
          <x14:cfRule type="dataBar" id="{0CFD77C3-2BC5-4F4B-B089-01C355DC0F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G3:G5</xm:sqref>
        </x14:conditionalFormatting>
        <x14:conditionalFormatting xmlns:xm="http://schemas.microsoft.com/office/excel/2006/main">
          <x14:cfRule type="dataBar" id="{AAA11EF7-045C-4BFC-A4A6-240AF47E44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G10:G11</xm:sqref>
        </x14:conditionalFormatting>
        <x14:conditionalFormatting xmlns:xm="http://schemas.microsoft.com/office/excel/2006/main">
          <x14:cfRule type="dataBar" id="{9FBE78B2-4BC2-4ACA-9240-0CA7B34432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G13</xm:sqref>
        </x14:conditionalFormatting>
        <x14:conditionalFormatting xmlns:xm="http://schemas.microsoft.com/office/excel/2006/main">
          <x14:cfRule type="dataBar" id="{00342221-84EE-44E5-A49A-40AE9881A1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J3:J5</xm:sqref>
        </x14:conditionalFormatting>
        <x14:conditionalFormatting xmlns:xm="http://schemas.microsoft.com/office/excel/2006/main">
          <x14:cfRule type="dataBar" id="{D637B6A6-6FA1-4537-B7A6-61D9F6F53E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J10:J11</xm:sqref>
        </x14:conditionalFormatting>
        <x14:conditionalFormatting xmlns:xm="http://schemas.microsoft.com/office/excel/2006/main">
          <x14:cfRule type="dataBar" id="{14A35C75-5661-4D4E-AA4F-AFA532A217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 M13 P13 S13 V13 Y13 AB13 AE13 AH13 AK13</xm:sqref>
        </x14:conditionalFormatting>
        <x14:conditionalFormatting xmlns:xm="http://schemas.microsoft.com/office/excel/2006/main">
          <x14:cfRule type="dataBar" id="{10399BD9-41FF-464C-BB45-9BE3057D7C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M3:M5</xm:sqref>
        </x14:conditionalFormatting>
        <x14:conditionalFormatting xmlns:xm="http://schemas.microsoft.com/office/excel/2006/main">
          <x14:cfRule type="dataBar" id="{B3D2C89E-B4D2-4175-84C1-7660C4D0DE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M10:M11</xm:sqref>
        </x14:conditionalFormatting>
        <x14:conditionalFormatting xmlns:xm="http://schemas.microsoft.com/office/excel/2006/main">
          <x14:cfRule type="dataBar" id="{555D8E97-D9C6-48CC-8A1A-F4C280DF71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ADD26893-BF58-4F89-8455-3E13DE5EDA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P3:P5</xm:sqref>
        </x14:conditionalFormatting>
        <x14:conditionalFormatting xmlns:xm="http://schemas.microsoft.com/office/excel/2006/main">
          <x14:cfRule type="dataBar" id="{CD03DD8A-6263-4CCE-BF8F-E5C3A41863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P10:P11</xm:sqref>
        </x14:conditionalFormatting>
        <x14:conditionalFormatting xmlns:xm="http://schemas.microsoft.com/office/excel/2006/main">
          <x14:cfRule type="dataBar" id="{FF84D4FC-96C6-4FCD-8E81-535B960B6C63}">
            <x14:dataBar minLength="0" maxLength="100" gradient="0">
              <x14:cfvo type="autoMin"/>
              <x14:cfvo type="percent">
                <xm:f>100</xm:f>
              </x14:cfvo>
              <x14:negativeFillColor rgb="FFFF0000"/>
              <x14:axisColor rgb="FF000000"/>
            </x14:dataBar>
          </x14:cfRule>
          <xm:sqref>S3:S5 V3:V5 Y3:Y4</xm:sqref>
        </x14:conditionalFormatting>
        <x14:conditionalFormatting xmlns:xm="http://schemas.microsoft.com/office/excel/2006/main">
          <x14:cfRule type="dataBar" id="{1338E1F9-DF69-4EA7-97D2-EBDD6E488A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S10:S11</xm:sqref>
        </x14:conditionalFormatting>
        <x14:conditionalFormatting xmlns:xm="http://schemas.microsoft.com/office/excel/2006/main">
          <x14:cfRule type="dataBar" id="{3EB7337A-F49F-4BB5-8BC1-44AD0D5CF4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V10:V11</xm:sqref>
        </x14:conditionalFormatting>
        <x14:conditionalFormatting xmlns:xm="http://schemas.microsoft.com/office/excel/2006/main">
          <x14:cfRule type="dataBar" id="{31AB68F3-BAEB-4ED1-9FDE-2DD56B7FBE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Y5</xm:sqref>
        </x14:conditionalFormatting>
        <x14:conditionalFormatting xmlns:xm="http://schemas.microsoft.com/office/excel/2006/main">
          <x14:cfRule type="dataBar" id="{5DBDD8C0-B559-4374-905F-5FD5DAD91A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Y10:Y11</xm:sqref>
        </x14:conditionalFormatting>
        <x14:conditionalFormatting xmlns:xm="http://schemas.microsoft.com/office/excel/2006/main">
          <x14:cfRule type="dataBar" id="{7A13ECB4-BC28-4861-8BCC-45F96ADE32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AB3:AB4</xm:sqref>
        </x14:conditionalFormatting>
        <x14:conditionalFormatting xmlns:xm="http://schemas.microsoft.com/office/excel/2006/main">
          <x14:cfRule type="dataBar" id="{DB11E388-0BAF-49EF-94E7-05A3A04C3D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</xm:sqref>
        </x14:conditionalFormatting>
        <x14:conditionalFormatting xmlns:xm="http://schemas.microsoft.com/office/excel/2006/main">
          <x14:cfRule type="dataBar" id="{BBCBB7A4-52B3-4F17-90F2-C97004EFD9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AB10:AB11</xm:sqref>
        </x14:conditionalFormatting>
        <x14:conditionalFormatting xmlns:xm="http://schemas.microsoft.com/office/excel/2006/main">
          <x14:cfRule type="dataBar" id="{47077931-4DF8-4317-BD13-C5EB7797FC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AE3:AE4</xm:sqref>
        </x14:conditionalFormatting>
        <x14:conditionalFormatting xmlns:xm="http://schemas.microsoft.com/office/excel/2006/main">
          <x14:cfRule type="dataBar" id="{ADDC0820-A3EB-4FEA-A015-8F23CEA2CE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AE5</xm:sqref>
        </x14:conditionalFormatting>
        <x14:conditionalFormatting xmlns:xm="http://schemas.microsoft.com/office/excel/2006/main">
          <x14:cfRule type="dataBar" id="{0EDC8190-7D00-4C6A-A2C9-0E22D2CF8F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AE10:AE11</xm:sqref>
        </x14:conditionalFormatting>
        <x14:conditionalFormatting xmlns:xm="http://schemas.microsoft.com/office/excel/2006/main">
          <x14:cfRule type="dataBar" id="{F6C7D453-1C17-4CC2-918D-8C1A31D73E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AH3:AH4</xm:sqref>
        </x14:conditionalFormatting>
        <x14:conditionalFormatting xmlns:xm="http://schemas.microsoft.com/office/excel/2006/main">
          <x14:cfRule type="dataBar" id="{1D99E0A1-619F-403B-AFFB-CC86067137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AH5</xm:sqref>
        </x14:conditionalFormatting>
        <x14:conditionalFormatting xmlns:xm="http://schemas.microsoft.com/office/excel/2006/main">
          <x14:cfRule type="dataBar" id="{21786F7D-100B-4D45-99A5-A4C91B99E1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AH10:AH11</xm:sqref>
        </x14:conditionalFormatting>
        <x14:conditionalFormatting xmlns:xm="http://schemas.microsoft.com/office/excel/2006/main">
          <x14:cfRule type="dataBar" id="{CB6239DC-80CC-40C4-B90E-454B23A267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AK3:AK4</xm:sqref>
        </x14:conditionalFormatting>
        <x14:conditionalFormatting xmlns:xm="http://schemas.microsoft.com/office/excel/2006/main">
          <x14:cfRule type="dataBar" id="{8F4D1D45-1A26-4EA9-8E9D-70F89E90AC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</xm:sqref>
        </x14:conditionalFormatting>
        <x14:conditionalFormatting xmlns:xm="http://schemas.microsoft.com/office/excel/2006/main">
          <x14:cfRule type="dataBar" id="{6D957C6F-088D-4BBD-B37A-BBF47503B4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AK10:AK11</xm:sqref>
        </x14:conditionalFormatting>
        <x14:conditionalFormatting xmlns:xm="http://schemas.microsoft.com/office/excel/2006/main">
          <x14:cfRule type="dataBar" id="{6635B221-B035-407D-AD70-36C7E0ED2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AN3:AN4</xm:sqref>
        </x14:conditionalFormatting>
        <x14:conditionalFormatting xmlns:xm="http://schemas.microsoft.com/office/excel/2006/main">
          <x14:cfRule type="dataBar" id="{35A8AB9A-576D-4284-BE6C-73BF67A5A5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AN5</xm:sqref>
        </x14:conditionalFormatting>
        <x14:conditionalFormatting xmlns:xm="http://schemas.microsoft.com/office/excel/2006/main">
          <x14:cfRule type="dataBar" id="{EC1F81AB-C6F8-48F8-BC74-157638364F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AN10:AN11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N24"/>
  <sheetViews>
    <sheetView showGridLines="0" zoomScale="115" zoomScaleNormal="115" workbookViewId="0">
      <pane xSplit="4" ySplit="2" topLeftCell="AC3" activePane="bottomRight" state="frozen"/>
      <selection pane="topRight" activeCell="F1" sqref="F1"/>
      <selection pane="bottomLeft" activeCell="A4" sqref="A4"/>
      <selection pane="bottomRight" activeCell="B16" sqref="B16"/>
    </sheetView>
  </sheetViews>
  <sheetFormatPr baseColWidth="10" defaultColWidth="10.85546875" defaultRowHeight="12.75" x14ac:dyDescent="0.2"/>
  <cols>
    <col min="1" max="1" width="33" style="507" customWidth="1"/>
    <col min="2" max="2" width="27.42578125" style="508" bestFit="1" customWidth="1"/>
    <col min="3" max="3" width="16.140625" style="509" bestFit="1" customWidth="1"/>
    <col min="4" max="4" width="7.42578125" style="510" bestFit="1" customWidth="1"/>
    <col min="5" max="5" width="14.140625" style="508" customWidth="1"/>
    <col min="6" max="6" width="13.42578125" style="509" bestFit="1" customWidth="1"/>
    <col min="7" max="7" width="7.28515625" style="510" bestFit="1" customWidth="1"/>
    <col min="8" max="8" width="13.28515625" style="508" bestFit="1" customWidth="1"/>
    <col min="9" max="9" width="15" style="509" bestFit="1" customWidth="1"/>
    <col min="10" max="10" width="10.42578125" style="510" bestFit="1" customWidth="1"/>
    <col min="11" max="11" width="13.42578125" style="508" bestFit="1" customWidth="1"/>
    <col min="12" max="12" width="13.85546875" style="509" bestFit="1" customWidth="1"/>
    <col min="13" max="13" width="10.42578125" style="510" bestFit="1" customWidth="1"/>
    <col min="14" max="14" width="15.42578125" style="508" bestFit="1" customWidth="1"/>
    <col min="15" max="15" width="16.140625" style="509" bestFit="1" customWidth="1"/>
    <col min="16" max="16" width="13.42578125" style="510" customWidth="1"/>
    <col min="17" max="17" width="14.85546875" style="508" bestFit="1" customWidth="1"/>
    <col min="18" max="18" width="14.42578125" style="509" bestFit="1" customWidth="1"/>
    <col min="19" max="19" width="12.42578125" style="510" bestFit="1" customWidth="1"/>
    <col min="20" max="20" width="15" style="508" bestFit="1" customWidth="1"/>
    <col min="21" max="21" width="13.28515625" style="509" bestFit="1" customWidth="1"/>
    <col min="22" max="22" width="11.42578125" style="510" bestFit="1" customWidth="1"/>
    <col min="23" max="23" width="14.85546875" style="508" bestFit="1" customWidth="1"/>
    <col min="24" max="24" width="13.28515625" style="509" bestFit="1" customWidth="1"/>
    <col min="25" max="25" width="7.28515625" style="510" customWidth="1"/>
    <col min="26" max="26" width="15.42578125" style="508" customWidth="1"/>
    <col min="27" max="27" width="13.42578125" style="509" bestFit="1" customWidth="1"/>
    <col min="28" max="28" width="7.28515625" style="510" customWidth="1"/>
    <col min="29" max="29" width="15" style="508" bestFit="1" customWidth="1"/>
    <col min="30" max="30" width="15" style="509" bestFit="1" customWidth="1"/>
    <col min="31" max="31" width="9" style="510" bestFit="1" customWidth="1"/>
    <col min="32" max="32" width="15" style="508" bestFit="1" customWidth="1"/>
    <col min="33" max="33" width="13.28515625" style="509" bestFit="1" customWidth="1"/>
    <col min="34" max="34" width="7.28515625" style="510" customWidth="1"/>
    <col min="35" max="35" width="16.7109375" style="508" bestFit="1" customWidth="1"/>
    <col min="36" max="36" width="14" style="509" bestFit="1" customWidth="1"/>
    <col min="37" max="37" width="16.42578125" style="510" bestFit="1" customWidth="1"/>
    <col min="38" max="38" width="17.28515625" style="508" bestFit="1" customWidth="1"/>
    <col min="39" max="39" width="17.140625" style="509" bestFit="1" customWidth="1"/>
    <col min="40" max="40" width="7.28515625" style="510" customWidth="1"/>
    <col min="41" max="41" width="10.85546875" style="509"/>
    <col min="42" max="42" width="11.42578125" style="509" bestFit="1" customWidth="1"/>
    <col min="43" max="43" width="12.42578125" style="509" bestFit="1" customWidth="1"/>
    <col min="44" max="16384" width="10.85546875" style="509"/>
  </cols>
  <sheetData>
    <row r="1" spans="1:40" s="463" customFormat="1" ht="22.5" customHeight="1" x14ac:dyDescent="0.25">
      <c r="A1" s="751" t="s">
        <v>1171</v>
      </c>
      <c r="B1" s="753" t="s">
        <v>0</v>
      </c>
      <c r="C1" s="754"/>
      <c r="D1" s="755"/>
      <c r="E1" s="749">
        <v>45658</v>
      </c>
      <c r="F1" s="749"/>
      <c r="G1" s="750"/>
      <c r="H1" s="748">
        <v>45689</v>
      </c>
      <c r="I1" s="749"/>
      <c r="J1" s="750"/>
      <c r="K1" s="748">
        <v>45717</v>
      </c>
      <c r="L1" s="749"/>
      <c r="M1" s="750"/>
      <c r="N1" s="748">
        <v>45748</v>
      </c>
      <c r="O1" s="749"/>
      <c r="P1" s="750"/>
      <c r="Q1" s="748">
        <v>45778</v>
      </c>
      <c r="R1" s="749"/>
      <c r="S1" s="750"/>
      <c r="T1" s="748">
        <v>45809</v>
      </c>
      <c r="U1" s="749"/>
      <c r="V1" s="750"/>
      <c r="W1" s="748">
        <v>45839</v>
      </c>
      <c r="X1" s="749"/>
      <c r="Y1" s="750"/>
      <c r="Z1" s="748">
        <v>45870</v>
      </c>
      <c r="AA1" s="749"/>
      <c r="AB1" s="750"/>
      <c r="AC1" s="748">
        <v>45901</v>
      </c>
      <c r="AD1" s="749"/>
      <c r="AE1" s="750"/>
      <c r="AF1" s="748">
        <v>45931</v>
      </c>
      <c r="AG1" s="749"/>
      <c r="AH1" s="750"/>
      <c r="AI1" s="748">
        <v>45962</v>
      </c>
      <c r="AJ1" s="749"/>
      <c r="AK1" s="750"/>
      <c r="AL1" s="748">
        <v>45992</v>
      </c>
      <c r="AM1" s="749"/>
      <c r="AN1" s="750"/>
    </row>
    <row r="2" spans="1:40" s="469" customFormat="1" ht="17.100000000000001" customHeight="1" thickBot="1" x14ac:dyDescent="0.3">
      <c r="A2" s="752"/>
      <c r="B2" s="464" t="s">
        <v>1</v>
      </c>
      <c r="C2" s="465" t="s">
        <v>2</v>
      </c>
      <c r="D2" s="466" t="s">
        <v>3</v>
      </c>
      <c r="E2" s="467" t="s">
        <v>1</v>
      </c>
      <c r="F2" s="465" t="s">
        <v>2</v>
      </c>
      <c r="G2" s="465" t="s">
        <v>3</v>
      </c>
      <c r="H2" s="468" t="s">
        <v>1</v>
      </c>
      <c r="I2" s="465" t="s">
        <v>2</v>
      </c>
      <c r="J2" s="465" t="s">
        <v>3</v>
      </c>
      <c r="K2" s="468" t="s">
        <v>1</v>
      </c>
      <c r="L2" s="465" t="s">
        <v>2</v>
      </c>
      <c r="M2" s="465" t="s">
        <v>3</v>
      </c>
      <c r="N2" s="468" t="s">
        <v>1</v>
      </c>
      <c r="O2" s="465" t="s">
        <v>2</v>
      </c>
      <c r="P2" s="465" t="s">
        <v>3</v>
      </c>
      <c r="Q2" s="468" t="s">
        <v>1</v>
      </c>
      <c r="R2" s="465" t="s">
        <v>2</v>
      </c>
      <c r="S2" s="465" t="s">
        <v>3</v>
      </c>
      <c r="T2" s="468" t="s">
        <v>1</v>
      </c>
      <c r="U2" s="465" t="s">
        <v>2</v>
      </c>
      <c r="V2" s="465" t="s">
        <v>3</v>
      </c>
      <c r="W2" s="468" t="s">
        <v>1</v>
      </c>
      <c r="X2" s="465" t="s">
        <v>2</v>
      </c>
      <c r="Y2" s="465" t="s">
        <v>3</v>
      </c>
      <c r="Z2" s="468" t="s">
        <v>1</v>
      </c>
      <c r="AA2" s="465" t="s">
        <v>2</v>
      </c>
      <c r="AB2" s="465" t="s">
        <v>3</v>
      </c>
      <c r="AC2" s="468" t="s">
        <v>1</v>
      </c>
      <c r="AD2" s="465" t="s">
        <v>2</v>
      </c>
      <c r="AE2" s="465" t="s">
        <v>3</v>
      </c>
      <c r="AF2" s="468" t="s">
        <v>1</v>
      </c>
      <c r="AG2" s="465" t="s">
        <v>2</v>
      </c>
      <c r="AH2" s="465" t="s">
        <v>3</v>
      </c>
      <c r="AI2" s="468" t="s">
        <v>1</v>
      </c>
      <c r="AJ2" s="465" t="s">
        <v>2</v>
      </c>
      <c r="AK2" s="465" t="s">
        <v>3</v>
      </c>
      <c r="AL2" s="468" t="s">
        <v>1</v>
      </c>
      <c r="AM2" s="465" t="s">
        <v>2</v>
      </c>
      <c r="AN2" s="466" t="s">
        <v>3</v>
      </c>
    </row>
    <row r="3" spans="1:40" s="477" customFormat="1" ht="24.6" customHeight="1" x14ac:dyDescent="0.25">
      <c r="A3" s="470" t="s">
        <v>4</v>
      </c>
      <c r="B3" s="530">
        <f>E3+H3+K3+N3+Q3+T3+W3+Z3+AC3+AF3+AI3+AL3</f>
        <v>0</v>
      </c>
      <c r="C3" s="531">
        <f t="shared" ref="C3:C11" si="0">F3+I3+L3+O3+R3+U3+X3+AA3+AD3+AG3+AJ3+AM3</f>
        <v>0</v>
      </c>
      <c r="D3" s="472" t="e">
        <f>C3/B3</f>
        <v>#DIV/0!</v>
      </c>
      <c r="E3" s="473"/>
      <c r="F3" s="474"/>
      <c r="G3" s="475" t="e">
        <f>F3/E3</f>
        <v>#DIV/0!</v>
      </c>
      <c r="H3" s="473"/>
      <c r="I3" s="471"/>
      <c r="J3" s="476" t="e">
        <f t="shared" ref="J3" si="1">I3/H3</f>
        <v>#DIV/0!</v>
      </c>
      <c r="K3" s="473"/>
      <c r="L3" s="471"/>
      <c r="M3" s="475" t="e">
        <f t="shared" ref="M3:M4" si="2">L3/K3</f>
        <v>#DIV/0!</v>
      </c>
      <c r="N3" s="473"/>
      <c r="O3" s="471"/>
      <c r="P3" s="475" t="e">
        <f t="shared" ref="P3:P4" si="3">O3/N3</f>
        <v>#DIV/0!</v>
      </c>
      <c r="Q3" s="473"/>
      <c r="R3" s="471"/>
      <c r="S3" s="475" t="e">
        <f t="shared" ref="S3:S4" si="4">R3/Q3</f>
        <v>#DIV/0!</v>
      </c>
      <c r="T3" s="473"/>
      <c r="U3" s="471"/>
      <c r="V3" s="475" t="e">
        <f t="shared" ref="V3:V4" si="5">U3/T3</f>
        <v>#DIV/0!</v>
      </c>
      <c r="W3" s="473"/>
      <c r="X3" s="471"/>
      <c r="Y3" s="475" t="e">
        <f>X3/W3</f>
        <v>#DIV/0!</v>
      </c>
      <c r="Z3" s="473"/>
      <c r="AA3" s="471"/>
      <c r="AB3" s="475" t="e">
        <f>AA3/Z3</f>
        <v>#DIV/0!</v>
      </c>
      <c r="AC3" s="473"/>
      <c r="AD3" s="471"/>
      <c r="AE3" s="475" t="e">
        <f>AD3/AC3</f>
        <v>#DIV/0!</v>
      </c>
      <c r="AF3" s="473"/>
      <c r="AG3" s="471"/>
      <c r="AH3" s="475" t="e">
        <f>AG3/AF3</f>
        <v>#DIV/0!</v>
      </c>
      <c r="AI3" s="473"/>
      <c r="AJ3" s="471"/>
      <c r="AK3" s="475" t="e">
        <f>AJ3/AI3</f>
        <v>#DIV/0!</v>
      </c>
      <c r="AL3" s="473"/>
      <c r="AM3" s="471"/>
      <c r="AN3" s="472" t="e">
        <f>AM3/AL3</f>
        <v>#DIV/0!</v>
      </c>
    </row>
    <row r="4" spans="1:40" s="477" customFormat="1" ht="24.6" customHeight="1" x14ac:dyDescent="0.25">
      <c r="A4" s="478" t="s">
        <v>5</v>
      </c>
      <c r="B4" s="532">
        <f>E4+H4+K4+N4+Q4+T4+W4+Z4+AC4+AF4+AI4+AL4</f>
        <v>0</v>
      </c>
      <c r="C4" s="533">
        <f t="shared" si="0"/>
        <v>0</v>
      </c>
      <c r="D4" s="480" t="e">
        <f>C4/B4</f>
        <v>#DIV/0!</v>
      </c>
      <c r="E4" s="481"/>
      <c r="F4" s="482"/>
      <c r="G4" s="476" t="e">
        <f>F4/E4</f>
        <v>#DIV/0!</v>
      </c>
      <c r="H4" s="481"/>
      <c r="I4" s="482"/>
      <c r="J4" s="476" t="e">
        <f>I4/H4</f>
        <v>#DIV/0!</v>
      </c>
      <c r="K4" s="481"/>
      <c r="L4" s="483"/>
      <c r="M4" s="476" t="e">
        <f t="shared" si="2"/>
        <v>#DIV/0!</v>
      </c>
      <c r="N4" s="481"/>
      <c r="O4" s="483"/>
      <c r="P4" s="476" t="e">
        <f t="shared" si="3"/>
        <v>#DIV/0!</v>
      </c>
      <c r="Q4" s="481"/>
      <c r="R4" s="483"/>
      <c r="S4" s="476" t="e">
        <f t="shared" si="4"/>
        <v>#DIV/0!</v>
      </c>
      <c r="T4" s="481"/>
      <c r="U4" s="483"/>
      <c r="V4" s="476" t="e">
        <f t="shared" si="5"/>
        <v>#DIV/0!</v>
      </c>
      <c r="W4" s="481"/>
      <c r="X4" s="483"/>
      <c r="Y4" s="476" t="e">
        <f>X4/W4</f>
        <v>#DIV/0!</v>
      </c>
      <c r="Z4" s="481"/>
      <c r="AA4" s="483"/>
      <c r="AB4" s="476" t="e">
        <f>AA4/Z4</f>
        <v>#DIV/0!</v>
      </c>
      <c r="AC4" s="481"/>
      <c r="AD4" s="483"/>
      <c r="AE4" s="476" t="e">
        <f>AD4/AC4</f>
        <v>#DIV/0!</v>
      </c>
      <c r="AF4" s="481"/>
      <c r="AG4" s="483"/>
      <c r="AH4" s="476" t="e">
        <f>AG4/AF4</f>
        <v>#DIV/0!</v>
      </c>
      <c r="AI4" s="481"/>
      <c r="AJ4" s="483"/>
      <c r="AK4" s="476" t="e">
        <f>AJ4/AI4</f>
        <v>#DIV/0!</v>
      </c>
      <c r="AL4" s="481"/>
      <c r="AM4" s="483"/>
      <c r="AN4" s="480" t="e">
        <f>AM4/AL4</f>
        <v>#DIV/0!</v>
      </c>
    </row>
    <row r="5" spans="1:40" s="488" customFormat="1" ht="24.6" customHeight="1" x14ac:dyDescent="0.25">
      <c r="A5" s="478" t="s">
        <v>6</v>
      </c>
      <c r="B5" s="534"/>
      <c r="C5" s="533">
        <f t="shared" si="0"/>
        <v>0</v>
      </c>
      <c r="D5" s="484" t="e">
        <f>C5/C4</f>
        <v>#DIV/0!</v>
      </c>
      <c r="E5" s="485"/>
      <c r="F5" s="479"/>
      <c r="G5" s="486" t="e">
        <f>F5/F4</f>
        <v>#DIV/0!</v>
      </c>
      <c r="H5" s="487"/>
      <c r="I5" s="483"/>
      <c r="J5" s="476" t="e">
        <f>I5/I4</f>
        <v>#DIV/0!</v>
      </c>
      <c r="K5" s="487"/>
      <c r="L5" s="483"/>
      <c r="M5" s="486" t="e">
        <f>L5/L4</f>
        <v>#DIV/0!</v>
      </c>
      <c r="N5" s="487"/>
      <c r="O5" s="483"/>
      <c r="P5" s="486" t="e">
        <f>O5/O4</f>
        <v>#DIV/0!</v>
      </c>
      <c r="Q5" s="487"/>
      <c r="R5" s="483"/>
      <c r="S5" s="486" t="e">
        <f>R5/R4</f>
        <v>#DIV/0!</v>
      </c>
      <c r="T5" s="487"/>
      <c r="U5" s="483"/>
      <c r="V5" s="486" t="e">
        <f>U5/U4</f>
        <v>#DIV/0!</v>
      </c>
      <c r="W5" s="487"/>
      <c r="X5" s="483"/>
      <c r="Y5" s="486" t="e">
        <f>X5/X4</f>
        <v>#DIV/0!</v>
      </c>
      <c r="Z5" s="487"/>
      <c r="AA5" s="483"/>
      <c r="AB5" s="486" t="e">
        <f>AA5/AA4</f>
        <v>#DIV/0!</v>
      </c>
      <c r="AC5" s="487"/>
      <c r="AD5" s="483"/>
      <c r="AE5" s="486" t="e">
        <f>AD5/AD4</f>
        <v>#DIV/0!</v>
      </c>
      <c r="AF5" s="487"/>
      <c r="AG5" s="483"/>
      <c r="AH5" s="486" t="e">
        <f>AG5/AG4</f>
        <v>#DIV/0!</v>
      </c>
      <c r="AI5" s="487"/>
      <c r="AJ5" s="483"/>
      <c r="AK5" s="486" t="e">
        <f>AJ5/AJ4</f>
        <v>#DIV/0!</v>
      </c>
      <c r="AL5" s="487"/>
      <c r="AM5" s="483"/>
      <c r="AN5" s="484" t="e">
        <f>AM5/AM4</f>
        <v>#DIV/0!</v>
      </c>
    </row>
    <row r="6" spans="1:40" s="477" customFormat="1" ht="24.6" customHeight="1" x14ac:dyDescent="0.25">
      <c r="A6" s="489" t="s">
        <v>7</v>
      </c>
      <c r="B6" s="535">
        <f t="shared" ref="B6:B11" si="6">E6+H6+K6+N6+Q6+T6+W6+Z6+AC6+AF6+AI6+AL6</f>
        <v>0</v>
      </c>
      <c r="C6" s="429">
        <f t="shared" si="0"/>
        <v>0</v>
      </c>
      <c r="D6" s="492" t="e">
        <f>C6/B6</f>
        <v>#DIV/0!</v>
      </c>
      <c r="E6" s="490"/>
      <c r="F6" s="491"/>
      <c r="G6" s="492" t="e">
        <f t="shared" ref="G6:G9" si="7">F6/F5</f>
        <v>#DIV/0!</v>
      </c>
      <c r="H6" s="490"/>
      <c r="I6" s="491"/>
      <c r="J6" s="492" t="e">
        <f t="shared" ref="J6:J9" si="8">I6/I5</f>
        <v>#DIV/0!</v>
      </c>
      <c r="K6" s="490"/>
      <c r="L6" s="491"/>
      <c r="M6" s="492" t="e">
        <f t="shared" ref="M6:M9" si="9">L6/L5</f>
        <v>#DIV/0!</v>
      </c>
      <c r="N6" s="490"/>
      <c r="O6" s="491"/>
      <c r="P6" s="492" t="e">
        <f t="shared" ref="P6:P9" si="10">O6/O5</f>
        <v>#DIV/0!</v>
      </c>
      <c r="Q6" s="490"/>
      <c r="R6" s="491"/>
      <c r="S6" s="492" t="e">
        <f>R6/R5</f>
        <v>#DIV/0!</v>
      </c>
      <c r="T6" s="490"/>
      <c r="U6" s="491"/>
      <c r="V6" s="492" t="e">
        <f t="shared" ref="V6:V9" si="11">U6/U5</f>
        <v>#DIV/0!</v>
      </c>
      <c r="W6" s="490"/>
      <c r="X6" s="491"/>
      <c r="Y6" s="492" t="e">
        <f t="shared" ref="Y6:Y9" si="12">X6/X5</f>
        <v>#DIV/0!</v>
      </c>
      <c r="Z6" s="490"/>
      <c r="AA6" s="491"/>
      <c r="AB6" s="492" t="e">
        <f t="shared" ref="AB6:AB9" si="13">AA6/AA5</f>
        <v>#DIV/0!</v>
      </c>
      <c r="AC6" s="490"/>
      <c r="AD6" s="491"/>
      <c r="AE6" s="492" t="e">
        <f t="shared" ref="AE6:AE9" si="14">AD6/AD5</f>
        <v>#DIV/0!</v>
      </c>
      <c r="AF6" s="490"/>
      <c r="AG6" s="491"/>
      <c r="AH6" s="492" t="e">
        <f t="shared" ref="AH6:AH9" si="15">AG6/AG5</f>
        <v>#DIV/0!</v>
      </c>
      <c r="AI6" s="490"/>
      <c r="AJ6" s="491"/>
      <c r="AK6" s="492" t="e">
        <f t="shared" ref="AK6:AK9" si="16">AJ6/AJ5</f>
        <v>#DIV/0!</v>
      </c>
      <c r="AL6" s="490"/>
      <c r="AM6" s="491"/>
      <c r="AN6" s="492" t="e">
        <f t="shared" ref="AN6:AN9" si="17">AM6/AM5</f>
        <v>#DIV/0!</v>
      </c>
    </row>
    <row r="7" spans="1:40" s="477" customFormat="1" ht="24.6" customHeight="1" x14ac:dyDescent="0.25">
      <c r="A7" s="489" t="s">
        <v>8</v>
      </c>
      <c r="B7" s="535">
        <f t="shared" si="6"/>
        <v>0</v>
      </c>
      <c r="C7" s="429">
        <f t="shared" si="0"/>
        <v>0</v>
      </c>
      <c r="D7" s="492" t="e">
        <f>C7/B7</f>
        <v>#DIV/0!</v>
      </c>
      <c r="E7" s="490"/>
      <c r="F7" s="491"/>
      <c r="G7" s="492" t="e">
        <f t="shared" si="7"/>
        <v>#DIV/0!</v>
      </c>
      <c r="H7" s="490"/>
      <c r="I7" s="491"/>
      <c r="J7" s="492" t="e">
        <f t="shared" si="8"/>
        <v>#DIV/0!</v>
      </c>
      <c r="K7" s="490"/>
      <c r="L7" s="491"/>
      <c r="M7" s="492" t="e">
        <f t="shared" si="9"/>
        <v>#DIV/0!</v>
      </c>
      <c r="N7" s="490"/>
      <c r="O7" s="491"/>
      <c r="P7" s="492" t="e">
        <f t="shared" si="10"/>
        <v>#DIV/0!</v>
      </c>
      <c r="Q7" s="490"/>
      <c r="R7" s="491"/>
      <c r="S7" s="492" t="e">
        <f t="shared" ref="S7:S9" si="18">R7/R6</f>
        <v>#DIV/0!</v>
      </c>
      <c r="T7" s="490"/>
      <c r="U7" s="491"/>
      <c r="V7" s="492" t="e">
        <f t="shared" si="11"/>
        <v>#DIV/0!</v>
      </c>
      <c r="W7" s="490"/>
      <c r="X7" s="491"/>
      <c r="Y7" s="492" t="e">
        <f t="shared" si="12"/>
        <v>#DIV/0!</v>
      </c>
      <c r="Z7" s="490"/>
      <c r="AA7" s="491"/>
      <c r="AB7" s="492" t="e">
        <f t="shared" si="13"/>
        <v>#DIV/0!</v>
      </c>
      <c r="AC7" s="490"/>
      <c r="AD7" s="491"/>
      <c r="AE7" s="492" t="e">
        <f t="shared" si="14"/>
        <v>#DIV/0!</v>
      </c>
      <c r="AF7" s="490"/>
      <c r="AG7" s="491"/>
      <c r="AH7" s="492" t="e">
        <f t="shared" si="15"/>
        <v>#DIV/0!</v>
      </c>
      <c r="AI7" s="490"/>
      <c r="AJ7" s="491"/>
      <c r="AK7" s="492" t="e">
        <f t="shared" si="16"/>
        <v>#DIV/0!</v>
      </c>
      <c r="AL7" s="490"/>
      <c r="AM7" s="491"/>
      <c r="AN7" s="492" t="e">
        <f t="shared" si="17"/>
        <v>#DIV/0!</v>
      </c>
    </row>
    <row r="8" spans="1:40" s="477" customFormat="1" ht="24.6" customHeight="1" x14ac:dyDescent="0.25">
      <c r="A8" s="489" t="s">
        <v>9</v>
      </c>
      <c r="B8" s="535">
        <f t="shared" si="6"/>
        <v>0</v>
      </c>
      <c r="C8" s="429">
        <f t="shared" si="0"/>
        <v>0</v>
      </c>
      <c r="D8" s="492" t="e">
        <f>C8/B8</f>
        <v>#DIV/0!</v>
      </c>
      <c r="E8" s="490"/>
      <c r="F8" s="491"/>
      <c r="G8" s="492" t="e">
        <f t="shared" si="7"/>
        <v>#DIV/0!</v>
      </c>
      <c r="H8" s="490"/>
      <c r="I8" s="491"/>
      <c r="J8" s="492" t="e">
        <f t="shared" si="8"/>
        <v>#DIV/0!</v>
      </c>
      <c r="K8" s="490"/>
      <c r="L8" s="491"/>
      <c r="M8" s="492" t="e">
        <f t="shared" si="9"/>
        <v>#DIV/0!</v>
      </c>
      <c r="N8" s="490"/>
      <c r="O8" s="491"/>
      <c r="P8" s="492" t="e">
        <f t="shared" si="10"/>
        <v>#DIV/0!</v>
      </c>
      <c r="Q8" s="490"/>
      <c r="R8" s="491"/>
      <c r="S8" s="492" t="e">
        <f t="shared" si="18"/>
        <v>#DIV/0!</v>
      </c>
      <c r="T8" s="490"/>
      <c r="U8" s="491"/>
      <c r="V8" s="492" t="e">
        <f t="shared" si="11"/>
        <v>#DIV/0!</v>
      </c>
      <c r="W8" s="490"/>
      <c r="X8" s="491"/>
      <c r="Y8" s="492" t="e">
        <f t="shared" si="12"/>
        <v>#DIV/0!</v>
      </c>
      <c r="Z8" s="490"/>
      <c r="AA8" s="491"/>
      <c r="AB8" s="492" t="e">
        <f t="shared" si="13"/>
        <v>#DIV/0!</v>
      </c>
      <c r="AC8" s="490"/>
      <c r="AD8" s="491"/>
      <c r="AE8" s="492" t="e">
        <f t="shared" si="14"/>
        <v>#DIV/0!</v>
      </c>
      <c r="AF8" s="490"/>
      <c r="AG8" s="491"/>
      <c r="AH8" s="492" t="e">
        <f t="shared" si="15"/>
        <v>#DIV/0!</v>
      </c>
      <c r="AI8" s="490"/>
      <c r="AJ8" s="491"/>
      <c r="AK8" s="492" t="e">
        <f t="shared" si="16"/>
        <v>#DIV/0!</v>
      </c>
      <c r="AL8" s="490"/>
      <c r="AM8" s="491"/>
      <c r="AN8" s="492" t="e">
        <f t="shared" si="17"/>
        <v>#DIV/0!</v>
      </c>
    </row>
    <row r="9" spans="1:40" s="477" customFormat="1" ht="24.6" customHeight="1" x14ac:dyDescent="0.25">
      <c r="A9" s="489" t="s">
        <v>10</v>
      </c>
      <c r="B9" s="535">
        <f t="shared" si="6"/>
        <v>0</v>
      </c>
      <c r="C9" s="429">
        <f t="shared" si="0"/>
        <v>0</v>
      </c>
      <c r="D9" s="492" t="e">
        <f t="shared" ref="D9:D11" si="19">C9/B9</f>
        <v>#DIV/0!</v>
      </c>
      <c r="E9" s="490"/>
      <c r="F9" s="491"/>
      <c r="G9" s="492" t="e">
        <f t="shared" si="7"/>
        <v>#DIV/0!</v>
      </c>
      <c r="H9" s="490"/>
      <c r="I9" s="491"/>
      <c r="J9" s="492" t="e">
        <f t="shared" si="8"/>
        <v>#DIV/0!</v>
      </c>
      <c r="K9" s="490"/>
      <c r="L9" s="491"/>
      <c r="M9" s="492" t="e">
        <f t="shared" si="9"/>
        <v>#DIV/0!</v>
      </c>
      <c r="N9" s="490"/>
      <c r="O9" s="491"/>
      <c r="P9" s="492" t="e">
        <f t="shared" si="10"/>
        <v>#DIV/0!</v>
      </c>
      <c r="Q9" s="490"/>
      <c r="R9" s="491"/>
      <c r="S9" s="492" t="e">
        <f t="shared" si="18"/>
        <v>#DIV/0!</v>
      </c>
      <c r="T9" s="490"/>
      <c r="U9" s="491"/>
      <c r="V9" s="492" t="e">
        <f t="shared" si="11"/>
        <v>#DIV/0!</v>
      </c>
      <c r="W9" s="490"/>
      <c r="X9" s="491"/>
      <c r="Y9" s="492" t="e">
        <f t="shared" si="12"/>
        <v>#DIV/0!</v>
      </c>
      <c r="Z9" s="490"/>
      <c r="AA9" s="491"/>
      <c r="AB9" s="492" t="e">
        <f t="shared" si="13"/>
        <v>#DIV/0!</v>
      </c>
      <c r="AC9" s="490"/>
      <c r="AD9" s="491"/>
      <c r="AE9" s="492" t="e">
        <f t="shared" si="14"/>
        <v>#DIV/0!</v>
      </c>
      <c r="AF9" s="490"/>
      <c r="AG9" s="491"/>
      <c r="AH9" s="492" t="e">
        <f t="shared" si="15"/>
        <v>#DIV/0!</v>
      </c>
      <c r="AI9" s="490"/>
      <c r="AJ9" s="491"/>
      <c r="AK9" s="492" t="e">
        <f t="shared" si="16"/>
        <v>#DIV/0!</v>
      </c>
      <c r="AL9" s="490"/>
      <c r="AM9" s="491"/>
      <c r="AN9" s="492" t="e">
        <f t="shared" si="17"/>
        <v>#DIV/0!</v>
      </c>
    </row>
    <row r="10" spans="1:40" s="477" customFormat="1" ht="24.6" customHeight="1" x14ac:dyDescent="0.25">
      <c r="A10" s="493" t="s">
        <v>11</v>
      </c>
      <c r="B10" s="536">
        <f t="shared" si="6"/>
        <v>0</v>
      </c>
      <c r="C10" s="430">
        <f t="shared" si="0"/>
        <v>0</v>
      </c>
      <c r="D10" s="496" t="e">
        <f t="shared" si="19"/>
        <v>#DIV/0!</v>
      </c>
      <c r="E10" s="494">
        <f>SUM(E6:E9)</f>
        <v>0</v>
      </c>
      <c r="F10" s="495">
        <f>SUM(F6:F9)</f>
        <v>0</v>
      </c>
      <c r="G10" s="496" t="e">
        <f>F10/E10</f>
        <v>#DIV/0!</v>
      </c>
      <c r="H10" s="494">
        <f>SUM(H6:H9)</f>
        <v>0</v>
      </c>
      <c r="I10" s="495">
        <f>SUM(I6:I9)</f>
        <v>0</v>
      </c>
      <c r="J10" s="496" t="e">
        <f>I10/H10</f>
        <v>#DIV/0!</v>
      </c>
      <c r="K10" s="494">
        <f>SUM(K6:K9)</f>
        <v>0</v>
      </c>
      <c r="L10" s="495">
        <f>SUM(L6:L9)</f>
        <v>0</v>
      </c>
      <c r="M10" s="496" t="e">
        <f>L10/K10</f>
        <v>#DIV/0!</v>
      </c>
      <c r="N10" s="494">
        <f>SUM(N6:N9)</f>
        <v>0</v>
      </c>
      <c r="O10" s="495">
        <f>SUM(O6:O9)</f>
        <v>0</v>
      </c>
      <c r="P10" s="496" t="e">
        <f>O10/N10</f>
        <v>#DIV/0!</v>
      </c>
      <c r="Q10" s="494">
        <f>SUM(Q6:Q9)</f>
        <v>0</v>
      </c>
      <c r="R10" s="495">
        <f>SUM(R6:R9)</f>
        <v>0</v>
      </c>
      <c r="S10" s="496" t="e">
        <f>R10/Q10</f>
        <v>#DIV/0!</v>
      </c>
      <c r="T10" s="494">
        <f>SUM(T6:T9)</f>
        <v>0</v>
      </c>
      <c r="U10" s="495">
        <f>SUM(U6:U9)</f>
        <v>0</v>
      </c>
      <c r="V10" s="496" t="e">
        <f>U10/T10</f>
        <v>#DIV/0!</v>
      </c>
      <c r="W10" s="494">
        <f>SUM(W6:W9)</f>
        <v>0</v>
      </c>
      <c r="X10" s="495">
        <f>SUM(X6:X9)</f>
        <v>0</v>
      </c>
      <c r="Y10" s="496" t="e">
        <f>X10/W10</f>
        <v>#DIV/0!</v>
      </c>
      <c r="Z10" s="494">
        <f>SUM(Z6:Z9)</f>
        <v>0</v>
      </c>
      <c r="AA10" s="495">
        <f>SUM(AA6:AA9)</f>
        <v>0</v>
      </c>
      <c r="AB10" s="496" t="e">
        <f>AA10/Z10</f>
        <v>#DIV/0!</v>
      </c>
      <c r="AC10" s="494">
        <f>SUM(AC6:AC9)</f>
        <v>0</v>
      </c>
      <c r="AD10" s="495">
        <f>SUM(AD6:AD9)</f>
        <v>0</v>
      </c>
      <c r="AE10" s="496" t="e">
        <f>AD10/AC10</f>
        <v>#DIV/0!</v>
      </c>
      <c r="AF10" s="494">
        <f>SUM(AF6:AF9)</f>
        <v>0</v>
      </c>
      <c r="AG10" s="495">
        <f>SUM(AG6:AG9)</f>
        <v>0</v>
      </c>
      <c r="AH10" s="496" t="e">
        <f>AG10/AF10</f>
        <v>#DIV/0!</v>
      </c>
      <c r="AI10" s="494">
        <f>SUM(AI6:AI9)</f>
        <v>0</v>
      </c>
      <c r="AJ10" s="495">
        <f>SUM(AJ6:AJ9)</f>
        <v>0</v>
      </c>
      <c r="AK10" s="496" t="e">
        <f>AJ10/AI10</f>
        <v>#DIV/0!</v>
      </c>
      <c r="AL10" s="494">
        <f>SUM(AL6:AL9)</f>
        <v>0</v>
      </c>
      <c r="AM10" s="495">
        <f>SUM(AM6:AM9)</f>
        <v>0</v>
      </c>
      <c r="AN10" s="496" t="e">
        <f>AM10/AL10</f>
        <v>#DIV/0!</v>
      </c>
    </row>
    <row r="11" spans="1:40" s="488" customFormat="1" ht="24.6" customHeight="1" thickBot="1" x14ac:dyDescent="0.3">
      <c r="A11" s="497" t="s">
        <v>12</v>
      </c>
      <c r="B11" s="431">
        <f t="shared" si="6"/>
        <v>0</v>
      </c>
      <c r="C11" s="432">
        <f t="shared" si="0"/>
        <v>0</v>
      </c>
      <c r="D11" s="500" t="e">
        <f t="shared" si="19"/>
        <v>#DIV/0!</v>
      </c>
      <c r="E11" s="498"/>
      <c r="F11" s="499"/>
      <c r="G11" s="500" t="e">
        <f>F11/E11</f>
        <v>#DIV/0!</v>
      </c>
      <c r="H11" s="498"/>
      <c r="I11" s="499"/>
      <c r="J11" s="500" t="e">
        <f>I11/H11</f>
        <v>#DIV/0!</v>
      </c>
      <c r="K11" s="498"/>
      <c r="L11" s="499"/>
      <c r="M11" s="500" t="e">
        <f>L11/K11</f>
        <v>#DIV/0!</v>
      </c>
      <c r="N11" s="498"/>
      <c r="O11" s="499"/>
      <c r="P11" s="500" t="e">
        <f>O11/N11</f>
        <v>#DIV/0!</v>
      </c>
      <c r="Q11" s="498"/>
      <c r="R11" s="499"/>
      <c r="S11" s="500" t="e">
        <f>R11/Q11</f>
        <v>#DIV/0!</v>
      </c>
      <c r="T11" s="498"/>
      <c r="U11" s="499"/>
      <c r="V11" s="500" t="e">
        <f>U11/T11</f>
        <v>#DIV/0!</v>
      </c>
      <c r="W11" s="498"/>
      <c r="X11" s="499"/>
      <c r="Y11" s="500" t="e">
        <f>X11/W11</f>
        <v>#DIV/0!</v>
      </c>
      <c r="Z11" s="498"/>
      <c r="AA11" s="499"/>
      <c r="AB11" s="500" t="e">
        <f>AA11/Z11</f>
        <v>#DIV/0!</v>
      </c>
      <c r="AC11" s="498"/>
      <c r="AD11" s="499"/>
      <c r="AE11" s="500" t="e">
        <f>AD11/AC11</f>
        <v>#DIV/0!</v>
      </c>
      <c r="AF11" s="498"/>
      <c r="AG11" s="499"/>
      <c r="AH11" s="500" t="e">
        <f>AG11/AF11</f>
        <v>#DIV/0!</v>
      </c>
      <c r="AI11" s="498"/>
      <c r="AJ11" s="499"/>
      <c r="AK11" s="500" t="e">
        <f>AJ11/AI11</f>
        <v>#DIV/0!</v>
      </c>
      <c r="AL11" s="498"/>
      <c r="AM11" s="499"/>
      <c r="AN11" s="500" t="e">
        <f>AM11/AL11</f>
        <v>#DIV/0!</v>
      </c>
    </row>
    <row r="12" spans="1:40" x14ac:dyDescent="0.2">
      <c r="K12" s="511"/>
      <c r="L12" s="511"/>
      <c r="M12" s="512"/>
    </row>
    <row r="13" spans="1:40" x14ac:dyDescent="0.2">
      <c r="B13" s="513"/>
      <c r="E13" s="514">
        <f>+E11</f>
        <v>0</v>
      </c>
      <c r="F13" s="514">
        <f>+F11</f>
        <v>0</v>
      </c>
      <c r="G13" s="500" t="e">
        <f>F13/E13</f>
        <v>#DIV/0!</v>
      </c>
      <c r="H13" s="514">
        <f>+H11+E13</f>
        <v>0</v>
      </c>
      <c r="I13" s="514">
        <f>+I11+F13</f>
        <v>0</v>
      </c>
      <c r="J13" s="500" t="e">
        <f t="shared" ref="J13" si="20">I13/H13</f>
        <v>#DIV/0!</v>
      </c>
      <c r="K13" s="514">
        <f>+K11+H13</f>
        <v>0</v>
      </c>
      <c r="L13" s="514">
        <f>+L11+I13</f>
        <v>0</v>
      </c>
      <c r="M13" s="500" t="e">
        <f t="shared" ref="M13" si="21">L13/K13</f>
        <v>#DIV/0!</v>
      </c>
      <c r="N13" s="514">
        <f>+N11+K13</f>
        <v>0</v>
      </c>
      <c r="O13" s="514">
        <f>+O11+L13</f>
        <v>0</v>
      </c>
      <c r="P13" s="500" t="e">
        <f>O13/N13</f>
        <v>#DIV/0!</v>
      </c>
      <c r="Q13" s="514">
        <f>+Q11+N13</f>
        <v>0</v>
      </c>
      <c r="R13" s="514">
        <f>+R11+O13</f>
        <v>0</v>
      </c>
      <c r="S13" s="500" t="e">
        <f t="shared" ref="S13" si="22">R13/Q13</f>
        <v>#DIV/0!</v>
      </c>
      <c r="T13" s="514">
        <f>+T11+Q13</f>
        <v>0</v>
      </c>
      <c r="U13" s="514">
        <f>+U11+R13</f>
        <v>0</v>
      </c>
      <c r="V13" s="500" t="e">
        <f t="shared" ref="V13" si="23">U13/T13</f>
        <v>#DIV/0!</v>
      </c>
      <c r="W13" s="514">
        <f>+W11+T13</f>
        <v>0</v>
      </c>
      <c r="X13" s="514">
        <f>+X11+U13</f>
        <v>0</v>
      </c>
      <c r="Y13" s="500" t="e">
        <f t="shared" ref="Y13" si="24">X13/W13</f>
        <v>#DIV/0!</v>
      </c>
      <c r="Z13" s="514">
        <f>+Z11+W13</f>
        <v>0</v>
      </c>
      <c r="AA13" s="514">
        <f>+AA11+X13</f>
        <v>0</v>
      </c>
      <c r="AB13" s="500" t="e">
        <f t="shared" ref="AB13" si="25">AA13/Z13</f>
        <v>#DIV/0!</v>
      </c>
      <c r="AC13" s="514">
        <f>+AC11+Z13</f>
        <v>0</v>
      </c>
      <c r="AD13" s="514">
        <f>+AD11+AA13</f>
        <v>0</v>
      </c>
      <c r="AE13" s="500" t="e">
        <f t="shared" ref="AE13" si="26">AD13/AC13</f>
        <v>#DIV/0!</v>
      </c>
      <c r="AF13" s="514">
        <f>+AF11+AC13</f>
        <v>0</v>
      </c>
      <c r="AG13" s="514">
        <f>+AG11+AD13</f>
        <v>0</v>
      </c>
      <c r="AH13" s="500" t="e">
        <f t="shared" ref="AH13" si="27">AG13/AF13</f>
        <v>#DIV/0!</v>
      </c>
      <c r="AI13" s="514">
        <f>+AI11+AF13</f>
        <v>0</v>
      </c>
      <c r="AJ13" s="514">
        <f>+AJ11+AG13</f>
        <v>0</v>
      </c>
      <c r="AK13" s="500" t="e">
        <f t="shared" ref="AK13" si="28">AJ13/AI13</f>
        <v>#DIV/0!</v>
      </c>
    </row>
    <row r="14" spans="1:40" x14ac:dyDescent="0.2">
      <c r="A14" s="515"/>
      <c r="B14" s="516"/>
      <c r="C14" s="517"/>
      <c r="E14" s="518"/>
      <c r="F14" s="518"/>
      <c r="H14" s="518"/>
      <c r="I14" s="518"/>
      <c r="L14" s="519"/>
      <c r="M14" s="520"/>
      <c r="N14" s="519"/>
      <c r="O14" s="519"/>
      <c r="P14" s="520"/>
      <c r="Q14" s="519"/>
      <c r="R14" s="519"/>
      <c r="S14" s="520"/>
      <c r="T14" s="521"/>
      <c r="U14" s="521"/>
      <c r="V14" s="522"/>
      <c r="AC14" s="511"/>
      <c r="AD14" s="511"/>
      <c r="AE14" s="523"/>
      <c r="AF14" s="511"/>
      <c r="AG14" s="511"/>
      <c r="AH14" s="523"/>
      <c r="AI14" s="511"/>
      <c r="AJ14" s="511"/>
      <c r="AK14" s="523"/>
      <c r="AL14" s="511"/>
      <c r="AM14" s="511"/>
      <c r="AN14" s="523"/>
    </row>
    <row r="15" spans="1:40" x14ac:dyDescent="0.2">
      <c r="A15" s="524"/>
      <c r="B15" s="511"/>
      <c r="C15" s="518"/>
      <c r="D15" s="525"/>
      <c r="L15" s="519"/>
      <c r="M15" s="520"/>
      <c r="N15" s="519"/>
      <c r="O15" s="519"/>
      <c r="P15" s="520"/>
      <c r="Q15" s="519"/>
      <c r="R15" s="519"/>
      <c r="S15" s="523"/>
      <c r="AI15" s="511"/>
      <c r="AJ15" s="511"/>
      <c r="AK15" s="523"/>
      <c r="AL15" s="511"/>
      <c r="AM15" s="511"/>
      <c r="AN15" s="523"/>
    </row>
    <row r="16" spans="1:40" x14ac:dyDescent="0.2">
      <c r="B16" s="511"/>
      <c r="H16" s="518"/>
      <c r="I16" s="518"/>
      <c r="L16" s="526"/>
      <c r="M16" s="527"/>
      <c r="N16" s="526"/>
      <c r="O16" s="526"/>
      <c r="P16" s="527"/>
      <c r="Q16" s="526"/>
      <c r="R16" s="526"/>
      <c r="AI16" s="511"/>
      <c r="AJ16" s="511"/>
      <c r="AK16" s="523"/>
      <c r="AL16" s="511"/>
      <c r="AM16" s="511"/>
      <c r="AN16" s="523"/>
    </row>
    <row r="17" spans="1:40" x14ac:dyDescent="0.2">
      <c r="B17" s="511"/>
      <c r="C17" s="511"/>
      <c r="D17" s="528"/>
      <c r="L17" s="519"/>
      <c r="M17" s="520"/>
      <c r="N17" s="519"/>
      <c r="O17" s="519"/>
      <c r="P17" s="520"/>
      <c r="Q17" s="519"/>
      <c r="R17" s="519"/>
    </row>
    <row r="18" spans="1:40" x14ac:dyDescent="0.2">
      <c r="A18" s="524"/>
      <c r="B18" s="511"/>
      <c r="C18" s="519"/>
      <c r="D18" s="520"/>
      <c r="AI18" s="511"/>
      <c r="AJ18" s="511"/>
      <c r="AK18" s="523"/>
      <c r="AL18" s="511"/>
      <c r="AM18" s="511"/>
      <c r="AN18" s="523"/>
    </row>
    <row r="19" spans="1:40" x14ac:dyDescent="0.2">
      <c r="A19" s="515"/>
      <c r="B19" s="511"/>
      <c r="C19" s="519"/>
      <c r="D19" s="520"/>
      <c r="E19" s="515"/>
      <c r="Q19" s="511"/>
      <c r="R19" s="511"/>
      <c r="S19" s="529"/>
    </row>
    <row r="22" spans="1:40" x14ac:dyDescent="0.2">
      <c r="E22" s="514"/>
      <c r="F22" s="514"/>
      <c r="I22" s="509" t="s">
        <v>15</v>
      </c>
    </row>
    <row r="23" spans="1:40" x14ac:dyDescent="0.2">
      <c r="E23" s="514"/>
      <c r="F23" s="514"/>
    </row>
    <row r="24" spans="1:40" x14ac:dyDescent="0.2">
      <c r="E24" s="514"/>
      <c r="F24" s="514"/>
    </row>
  </sheetData>
  <mergeCells count="14">
    <mergeCell ref="N1:P1"/>
    <mergeCell ref="A1:A2"/>
    <mergeCell ref="B1:D1"/>
    <mergeCell ref="E1:G1"/>
    <mergeCell ref="H1:J1"/>
    <mergeCell ref="K1:M1"/>
    <mergeCell ref="AI1:AK1"/>
    <mergeCell ref="AL1:AN1"/>
    <mergeCell ref="Q1:S1"/>
    <mergeCell ref="T1:V1"/>
    <mergeCell ref="W1:Y1"/>
    <mergeCell ref="Z1:AB1"/>
    <mergeCell ref="AC1:AE1"/>
    <mergeCell ref="AF1:AH1"/>
  </mergeCells>
  <conditionalFormatting sqref="D3">
    <cfRule type="dataBar" priority="16">
      <dataBar>
        <cfvo type="min"/>
        <cfvo type="percent" val="100"/>
        <color rgb="FFFF555A"/>
      </dataBar>
      <extLst>
        <ext xmlns:x14="http://schemas.microsoft.com/office/spreadsheetml/2009/9/main" uri="{B025F937-C7B1-47D3-B67F-A62EFF666E3E}">
          <x14:id>{FBB1A6B7-F275-4CB6-9764-A4259345E0FD}</x14:id>
        </ext>
      </extLst>
    </cfRule>
  </conditionalFormatting>
  <conditionalFormatting sqref="D3:D5 D10:D11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{829FAE49-6D0B-4BEE-A9A3-32855845B34F}</x14:id>
        </ext>
      </extLst>
    </cfRule>
  </conditionalFormatting>
  <conditionalFormatting sqref="G3:G5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{18DFAFC0-E805-4398-9247-74680960236E}</x14:id>
        </ext>
      </extLst>
    </cfRule>
  </conditionalFormatting>
  <conditionalFormatting sqref="G10:G11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{FC96BCD2-CA2C-4187-A597-24B368FD63F3}</x14:id>
        </ext>
      </extLst>
    </cfRule>
  </conditionalFormatting>
  <conditionalFormatting sqref="G1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{D060296A-2A98-48CF-8531-072D033F8A4C}</x14:id>
        </ext>
      </extLst>
    </cfRule>
  </conditionalFormatting>
  <conditionalFormatting sqref="J3:J5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{B6723074-D853-443B-89CB-1D3654DD0B8A}</x14:id>
        </ext>
      </extLst>
    </cfRule>
  </conditionalFormatting>
  <conditionalFormatting sqref="J10:J1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{05C340AE-4726-4779-8AB1-641270E88A1E}</x14:id>
        </ext>
      </extLst>
    </cfRule>
  </conditionalFormatting>
  <conditionalFormatting sqref="J13 M13 P13 S13 V13 Y13 AB13 AE13 AH13 AK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{12B456C1-0CD3-4CEA-8315-F9912FE42FB3}</x14:id>
        </ext>
      </extLst>
    </cfRule>
  </conditionalFormatting>
  <conditionalFormatting sqref="M3:M5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{AC5C1867-B558-4563-B069-287265044717}</x14:id>
        </ext>
      </extLst>
    </cfRule>
  </conditionalFormatting>
  <conditionalFormatting sqref="M10:M1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{030FB7D0-A051-43FC-816D-25995DB48D58}</x14:id>
        </ext>
      </extLst>
    </cfRule>
  </conditionalFormatting>
  <conditionalFormatting sqref="M12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{B3893050-967D-46F2-B963-ADF065F62484}</x14:id>
        </ext>
      </extLst>
    </cfRule>
  </conditionalFormatting>
  <conditionalFormatting sqref="P3:P5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{6A421311-B1F0-41F8-AE27-AC94692BFFAB}</x14:id>
        </ext>
      </extLst>
    </cfRule>
  </conditionalFormatting>
  <conditionalFormatting sqref="P10:P11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{B700F847-C5A0-403E-87DF-61F0359E756B}</x14:id>
        </ext>
      </extLst>
    </cfRule>
  </conditionalFormatting>
  <conditionalFormatting sqref="S3:S5 V3:V5 Y3:Y4">
    <cfRule type="dataBar" priority="23">
      <dataBar>
        <cfvo type="min"/>
        <cfvo type="percent" val="100"/>
        <color rgb="FF63C384"/>
      </dataBar>
      <extLst>
        <ext xmlns:x14="http://schemas.microsoft.com/office/spreadsheetml/2009/9/main" uri="{B025F937-C7B1-47D3-B67F-A62EFF666E3E}">
          <x14:id>{E3F27BA7-81A9-4EC5-914D-EFE9751B421A}</x14:id>
        </ext>
      </extLst>
    </cfRule>
  </conditionalFormatting>
  <conditionalFormatting sqref="S10:S1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{41A265B8-225D-4CA8-8B56-85A6DBCB3909}</x14:id>
        </ext>
      </extLst>
    </cfRule>
  </conditionalFormatting>
  <conditionalFormatting sqref="V10:V11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{F89D9903-C10B-4472-A6A1-60A840F47D8E}</x14:id>
        </ext>
      </extLst>
    </cfRule>
  </conditionalFormatting>
  <conditionalFormatting sqref="Y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{66B8ED5D-688F-47DE-8B90-075498C0884E}</x14:id>
        </ext>
      </extLst>
    </cfRule>
  </conditionalFormatting>
  <conditionalFormatting sqref="Y10:Y11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{05316978-F9B2-4579-8F98-B80D5BB02485}</x14:id>
        </ext>
      </extLst>
    </cfRule>
  </conditionalFormatting>
  <conditionalFormatting sqref="AB3:AB4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{5BD5336A-4025-4F34-9700-C5102EBC9505}</x14:id>
        </ext>
      </extLst>
    </cfRule>
  </conditionalFormatting>
  <conditionalFormatting sqref="AB5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{B44582A7-7F60-4400-873C-18B4ADF4EBF1}</x14:id>
        </ext>
      </extLst>
    </cfRule>
  </conditionalFormatting>
  <conditionalFormatting sqref="AB10:AB1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{0EA55A14-B523-47E2-8E1F-773DE4197720}</x14:id>
        </ext>
      </extLst>
    </cfRule>
  </conditionalFormatting>
  <conditionalFormatting sqref="AE3:AE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{D879229F-BFC3-410B-9CD1-278B1E09C852}</x14:id>
        </ext>
      </extLst>
    </cfRule>
  </conditionalFormatting>
  <conditionalFormatting sqref="AE5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{BE39FBF1-B077-4704-B48A-6B7CCA06CC48}</x14:id>
        </ext>
      </extLst>
    </cfRule>
  </conditionalFormatting>
  <conditionalFormatting sqref="AE10:AE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{80BE1177-5198-415F-9395-FCB85C5949B2}</x14:id>
        </ext>
      </extLst>
    </cfRule>
  </conditionalFormatting>
  <conditionalFormatting sqref="AH3:AH4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{3B5EBF3D-2116-4C96-A56C-379F97DF8452}</x14:id>
        </ext>
      </extLst>
    </cfRule>
  </conditionalFormatting>
  <conditionalFormatting sqref="AH5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{62AEF375-C498-4722-B0E3-69B105625DB6}</x14:id>
        </ext>
      </extLst>
    </cfRule>
  </conditionalFormatting>
  <conditionalFormatting sqref="AH10:AH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{1005124A-F94D-4B11-A273-7452FBE42259}</x14:id>
        </ext>
      </extLst>
    </cfRule>
  </conditionalFormatting>
  <conditionalFormatting sqref="AK3:AK4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{07648625-A6EF-48D4-9B6C-5E3566BC9B3D}</x14:id>
        </ext>
      </extLst>
    </cfRule>
  </conditionalFormatting>
  <conditionalFormatting sqref="AK5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{5F5A7F20-026D-4A63-8B03-EED02E3AF0F7}</x14:id>
        </ext>
      </extLst>
    </cfRule>
  </conditionalFormatting>
  <conditionalFormatting sqref="AK10:AK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{AF6AB98F-86E0-457C-B680-BA4FCCCE0B53}</x14:id>
        </ext>
      </extLst>
    </cfRule>
  </conditionalFormatting>
  <conditionalFormatting sqref="AN3:AN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{3416192F-20A3-4130-922E-65D0F033003B}</x14:id>
        </ext>
      </extLst>
    </cfRule>
  </conditionalFormatting>
  <conditionalFormatting sqref="AN5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{6C3326D5-5B25-4BBA-A046-E1B132F1A8BB}</x14:id>
        </ext>
      </extLst>
    </cfRule>
  </conditionalFormatting>
  <conditionalFormatting sqref="AN10:AN1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{CFE4C3AE-2DBC-4E8E-A3A0-DA4DFAFFBCB9}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B1A6B7-F275-4CB6-9764-A4259345E0FD}">
            <x14:dataBar minLength="0" maxLength="100" border="1" negativeBarBorderColorSameAsPositive="0">
              <x14:cfvo type="autoMin"/>
              <x14:cfvo type="percent">
                <xm:f>100</xm:f>
              </x14:cfvo>
              <x14:borderColor rgb="FFFF555A"/>
              <x14:negativeFillColor rgb="FFFF0000"/>
              <x14:negativeBorderColor rgb="FFFF0000"/>
              <x14:axisColor rgb="FF000000"/>
            </x14:dataBar>
          </x14:cfRule>
          <xm:sqref>D3</xm:sqref>
        </x14:conditionalFormatting>
        <x14:conditionalFormatting xmlns:xm="http://schemas.microsoft.com/office/excel/2006/main">
          <x14:cfRule type="dataBar" id="{829FAE49-6D0B-4BEE-A9A3-32855845B3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D3:D5 D10:D11</xm:sqref>
        </x14:conditionalFormatting>
        <x14:conditionalFormatting xmlns:xm="http://schemas.microsoft.com/office/excel/2006/main">
          <x14:cfRule type="dataBar" id="{18DFAFC0-E805-4398-9247-7468096023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G3:G5</xm:sqref>
        </x14:conditionalFormatting>
        <x14:conditionalFormatting xmlns:xm="http://schemas.microsoft.com/office/excel/2006/main">
          <x14:cfRule type="dataBar" id="{FC96BCD2-CA2C-4187-A597-24B368FD63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G10:G11</xm:sqref>
        </x14:conditionalFormatting>
        <x14:conditionalFormatting xmlns:xm="http://schemas.microsoft.com/office/excel/2006/main">
          <x14:cfRule type="dataBar" id="{D060296A-2A98-48CF-8531-072D033F8A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G13</xm:sqref>
        </x14:conditionalFormatting>
        <x14:conditionalFormatting xmlns:xm="http://schemas.microsoft.com/office/excel/2006/main">
          <x14:cfRule type="dataBar" id="{B6723074-D853-443B-89CB-1D3654DD0B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J3:J5</xm:sqref>
        </x14:conditionalFormatting>
        <x14:conditionalFormatting xmlns:xm="http://schemas.microsoft.com/office/excel/2006/main">
          <x14:cfRule type="dataBar" id="{05C340AE-4726-4779-8AB1-641270E88A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J10:J11</xm:sqref>
        </x14:conditionalFormatting>
        <x14:conditionalFormatting xmlns:xm="http://schemas.microsoft.com/office/excel/2006/main">
          <x14:cfRule type="dataBar" id="{12B456C1-0CD3-4CEA-8315-F9912FE42F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 M13 P13 S13 V13 Y13 AB13 AE13 AH13 AK13</xm:sqref>
        </x14:conditionalFormatting>
        <x14:conditionalFormatting xmlns:xm="http://schemas.microsoft.com/office/excel/2006/main">
          <x14:cfRule type="dataBar" id="{AC5C1867-B558-4563-B069-2872650447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M3:M5</xm:sqref>
        </x14:conditionalFormatting>
        <x14:conditionalFormatting xmlns:xm="http://schemas.microsoft.com/office/excel/2006/main">
          <x14:cfRule type="dataBar" id="{030FB7D0-A051-43FC-816D-25995DB48D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M10:M11</xm:sqref>
        </x14:conditionalFormatting>
        <x14:conditionalFormatting xmlns:xm="http://schemas.microsoft.com/office/excel/2006/main">
          <x14:cfRule type="dataBar" id="{B3893050-967D-46F2-B963-ADF065F624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6A421311-B1F0-41F8-AE27-AC94692BF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P3:P5</xm:sqref>
        </x14:conditionalFormatting>
        <x14:conditionalFormatting xmlns:xm="http://schemas.microsoft.com/office/excel/2006/main">
          <x14:cfRule type="dataBar" id="{B700F847-C5A0-403E-87DF-61F0359E75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P10:P11</xm:sqref>
        </x14:conditionalFormatting>
        <x14:conditionalFormatting xmlns:xm="http://schemas.microsoft.com/office/excel/2006/main">
          <x14:cfRule type="dataBar" id="{E3F27BA7-81A9-4EC5-914D-EFE9751B421A}">
            <x14:dataBar minLength="0" maxLength="100" gradient="0">
              <x14:cfvo type="autoMin"/>
              <x14:cfvo type="percent">
                <xm:f>100</xm:f>
              </x14:cfvo>
              <x14:negativeFillColor rgb="FFFF0000"/>
              <x14:axisColor rgb="FF000000"/>
            </x14:dataBar>
          </x14:cfRule>
          <xm:sqref>S3:S5 V3:V5 Y3:Y4</xm:sqref>
        </x14:conditionalFormatting>
        <x14:conditionalFormatting xmlns:xm="http://schemas.microsoft.com/office/excel/2006/main">
          <x14:cfRule type="dataBar" id="{41A265B8-225D-4CA8-8B56-85A6DBCB39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S10:S11</xm:sqref>
        </x14:conditionalFormatting>
        <x14:conditionalFormatting xmlns:xm="http://schemas.microsoft.com/office/excel/2006/main">
          <x14:cfRule type="dataBar" id="{F89D9903-C10B-4472-A6A1-60A840F47D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V10:V11</xm:sqref>
        </x14:conditionalFormatting>
        <x14:conditionalFormatting xmlns:xm="http://schemas.microsoft.com/office/excel/2006/main">
          <x14:cfRule type="dataBar" id="{66B8ED5D-688F-47DE-8B90-075498C088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Y5</xm:sqref>
        </x14:conditionalFormatting>
        <x14:conditionalFormatting xmlns:xm="http://schemas.microsoft.com/office/excel/2006/main">
          <x14:cfRule type="dataBar" id="{05316978-F9B2-4579-8F98-B80D5BB024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Y10:Y11</xm:sqref>
        </x14:conditionalFormatting>
        <x14:conditionalFormatting xmlns:xm="http://schemas.microsoft.com/office/excel/2006/main">
          <x14:cfRule type="dataBar" id="{5BD5336A-4025-4F34-9700-C5102EBC95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AB3:AB4</xm:sqref>
        </x14:conditionalFormatting>
        <x14:conditionalFormatting xmlns:xm="http://schemas.microsoft.com/office/excel/2006/main">
          <x14:cfRule type="dataBar" id="{B44582A7-7F60-4400-873C-18B4ADF4EB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</xm:sqref>
        </x14:conditionalFormatting>
        <x14:conditionalFormatting xmlns:xm="http://schemas.microsoft.com/office/excel/2006/main">
          <x14:cfRule type="dataBar" id="{0EA55A14-B523-47E2-8E1F-773DE41977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AB10:AB11</xm:sqref>
        </x14:conditionalFormatting>
        <x14:conditionalFormatting xmlns:xm="http://schemas.microsoft.com/office/excel/2006/main">
          <x14:cfRule type="dataBar" id="{D879229F-BFC3-410B-9CD1-278B1E09C8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AE3:AE4</xm:sqref>
        </x14:conditionalFormatting>
        <x14:conditionalFormatting xmlns:xm="http://schemas.microsoft.com/office/excel/2006/main">
          <x14:cfRule type="dataBar" id="{BE39FBF1-B077-4704-B48A-6B7CCA06CC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AE5</xm:sqref>
        </x14:conditionalFormatting>
        <x14:conditionalFormatting xmlns:xm="http://schemas.microsoft.com/office/excel/2006/main">
          <x14:cfRule type="dataBar" id="{80BE1177-5198-415F-9395-FCB85C5949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AE10:AE11</xm:sqref>
        </x14:conditionalFormatting>
        <x14:conditionalFormatting xmlns:xm="http://schemas.microsoft.com/office/excel/2006/main">
          <x14:cfRule type="dataBar" id="{3B5EBF3D-2116-4C96-A56C-379F97DF84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AH3:AH4</xm:sqref>
        </x14:conditionalFormatting>
        <x14:conditionalFormatting xmlns:xm="http://schemas.microsoft.com/office/excel/2006/main">
          <x14:cfRule type="dataBar" id="{62AEF375-C498-4722-B0E3-69B105625D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AH5</xm:sqref>
        </x14:conditionalFormatting>
        <x14:conditionalFormatting xmlns:xm="http://schemas.microsoft.com/office/excel/2006/main">
          <x14:cfRule type="dataBar" id="{1005124A-F94D-4B11-A273-7452FBE422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AH10:AH11</xm:sqref>
        </x14:conditionalFormatting>
        <x14:conditionalFormatting xmlns:xm="http://schemas.microsoft.com/office/excel/2006/main">
          <x14:cfRule type="dataBar" id="{07648625-A6EF-48D4-9B6C-5E3566BC9B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AK3:AK4</xm:sqref>
        </x14:conditionalFormatting>
        <x14:conditionalFormatting xmlns:xm="http://schemas.microsoft.com/office/excel/2006/main">
          <x14:cfRule type="dataBar" id="{5F5A7F20-026D-4A63-8B03-EED02E3AF0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</xm:sqref>
        </x14:conditionalFormatting>
        <x14:conditionalFormatting xmlns:xm="http://schemas.microsoft.com/office/excel/2006/main">
          <x14:cfRule type="dataBar" id="{AF6AB98F-86E0-457C-B680-BA4FCCCE0B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AK10:AK11</xm:sqref>
        </x14:conditionalFormatting>
        <x14:conditionalFormatting xmlns:xm="http://schemas.microsoft.com/office/excel/2006/main">
          <x14:cfRule type="dataBar" id="{3416192F-20A3-4130-922E-65D0F03300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AN3:AN4</xm:sqref>
        </x14:conditionalFormatting>
        <x14:conditionalFormatting xmlns:xm="http://schemas.microsoft.com/office/excel/2006/main">
          <x14:cfRule type="dataBar" id="{6C3326D5-5B25-4BBA-A046-E1B132F1A8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AN5</xm:sqref>
        </x14:conditionalFormatting>
        <x14:conditionalFormatting xmlns:xm="http://schemas.microsoft.com/office/excel/2006/main">
          <x14:cfRule type="dataBar" id="{CFE4C3AE-2DBC-4E8E-A3A0-DA4DFAFFBC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AN10:AN11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  <pageSetUpPr fitToPage="1"/>
  </sheetPr>
  <dimension ref="A1:K72"/>
  <sheetViews>
    <sheetView view="pageBreakPreview" zoomScale="190" zoomScaleNormal="100" zoomScaleSheetLayoutView="190" workbookViewId="0">
      <pane xSplit="4" ySplit="2" topLeftCell="E18" activePane="bottomRight" state="frozen"/>
      <selection pane="topRight" activeCell="C1" sqref="C1"/>
      <selection pane="bottomLeft" activeCell="A3" sqref="A3"/>
      <selection pane="bottomRight" activeCell="D66" sqref="D66"/>
    </sheetView>
  </sheetViews>
  <sheetFormatPr baseColWidth="10" defaultColWidth="11.5703125" defaultRowHeight="12.75" x14ac:dyDescent="0.25"/>
  <cols>
    <col min="1" max="3" width="13.140625" style="665" customWidth="1"/>
    <col min="4" max="4" width="22.140625" style="664" bestFit="1" customWidth="1"/>
    <col min="5" max="9" width="30.5703125" style="664" customWidth="1"/>
    <col min="10" max="11" width="14.5703125" style="331" bestFit="1" customWidth="1"/>
    <col min="12" max="16384" width="11.5703125" style="331"/>
  </cols>
  <sheetData>
    <row r="1" spans="1:11" ht="21" x14ac:dyDescent="0.25">
      <c r="A1" s="736">
        <f>+SUBTOTAL(3,A3:A1048576)</f>
        <v>0</v>
      </c>
      <c r="B1" s="736"/>
      <c r="C1" s="736"/>
      <c r="D1" s="332"/>
      <c r="E1" s="332"/>
      <c r="F1" s="332"/>
      <c r="G1" s="332"/>
      <c r="H1" s="332"/>
      <c r="I1" s="332"/>
    </row>
    <row r="2" spans="1:11" x14ac:dyDescent="0.25">
      <c r="A2" s="459" t="s">
        <v>18</v>
      </c>
      <c r="B2" s="340" t="s">
        <v>25</v>
      </c>
      <c r="C2" s="340"/>
      <c r="D2" s="339" t="s">
        <v>1201</v>
      </c>
      <c r="E2" s="339" t="s">
        <v>1196</v>
      </c>
      <c r="F2" s="339" t="s">
        <v>1197</v>
      </c>
      <c r="G2" s="339" t="s">
        <v>1198</v>
      </c>
      <c r="H2" s="339" t="s">
        <v>1199</v>
      </c>
      <c r="I2" s="340" t="s">
        <v>1200</v>
      </c>
    </row>
    <row r="3" spans="1:11" x14ac:dyDescent="0.25">
      <c r="A3" s="323"/>
      <c r="B3" s="323"/>
      <c r="C3" s="323"/>
      <c r="D3" s="653"/>
      <c r="E3" s="346"/>
      <c r="F3" s="346"/>
      <c r="G3" s="655"/>
      <c r="H3" s="647"/>
      <c r="I3" s="647"/>
      <c r="K3" s="335"/>
    </row>
    <row r="4" spans="1:11" x14ac:dyDescent="0.25">
      <c r="A4" s="657"/>
      <c r="B4" s="657"/>
      <c r="C4" s="657"/>
      <c r="D4" s="653"/>
      <c r="E4" s="653"/>
      <c r="F4" s="653"/>
      <c r="G4" s="658"/>
      <c r="H4" s="653"/>
      <c r="I4" s="653"/>
    </row>
    <row r="5" spans="1:11" x14ac:dyDescent="0.25">
      <c r="A5" s="657"/>
      <c r="B5" s="657"/>
      <c r="C5" s="657"/>
      <c r="D5" s="653"/>
      <c r="E5" s="653"/>
      <c r="F5" s="653"/>
      <c r="G5" s="658"/>
      <c r="H5" s="653"/>
      <c r="I5" s="653"/>
      <c r="K5" s="335"/>
    </row>
    <row r="6" spans="1:11" x14ac:dyDescent="0.25">
      <c r="A6" s="323"/>
      <c r="B6" s="323"/>
      <c r="C6" s="323"/>
      <c r="D6" s="346"/>
      <c r="E6" s="346"/>
      <c r="F6" s="346"/>
      <c r="G6" s="655"/>
      <c r="H6" s="647"/>
      <c r="I6" s="647"/>
      <c r="J6" s="335"/>
    </row>
    <row r="7" spans="1:11" x14ac:dyDescent="0.25">
      <c r="A7" s="323"/>
      <c r="B7" s="323"/>
      <c r="C7" s="323"/>
      <c r="D7" s="346"/>
      <c r="E7" s="346"/>
      <c r="F7" s="346"/>
      <c r="G7" s="655"/>
      <c r="H7" s="647"/>
      <c r="I7" s="647"/>
    </row>
    <row r="8" spans="1:11" x14ac:dyDescent="0.25">
      <c r="A8" s="323"/>
      <c r="B8" s="323"/>
      <c r="C8" s="323"/>
      <c r="D8" s="346"/>
      <c r="E8" s="346"/>
      <c r="F8" s="346"/>
      <c r="G8" s="655"/>
      <c r="H8" s="647"/>
      <c r="I8" s="647"/>
      <c r="J8" s="335"/>
    </row>
    <row r="9" spans="1:11" x14ac:dyDescent="0.25">
      <c r="A9" s="323"/>
      <c r="B9" s="323"/>
      <c r="C9" s="323"/>
      <c r="D9" s="346"/>
      <c r="E9" s="346"/>
      <c r="F9" s="346"/>
      <c r="G9" s="655"/>
      <c r="H9" s="647"/>
      <c r="I9" s="647"/>
    </row>
    <row r="10" spans="1:11" x14ac:dyDescent="0.25">
      <c r="A10" s="323"/>
      <c r="B10" s="323"/>
      <c r="C10" s="323"/>
      <c r="D10" s="346"/>
      <c r="E10" s="346"/>
      <c r="F10" s="346"/>
      <c r="G10" s="659"/>
      <c r="H10" s="647"/>
      <c r="I10" s="647"/>
    </row>
    <row r="11" spans="1:11" x14ac:dyDescent="0.25">
      <c r="A11" s="323"/>
      <c r="B11" s="323"/>
      <c r="C11" s="323"/>
      <c r="D11" s="346"/>
      <c r="E11" s="346"/>
      <c r="F11" s="346"/>
      <c r="G11" s="659"/>
      <c r="H11" s="647"/>
      <c r="I11" s="647"/>
    </row>
    <row r="12" spans="1:11" x14ac:dyDescent="0.25">
      <c r="A12" s="323"/>
      <c r="B12" s="323"/>
      <c r="C12" s="323"/>
      <c r="D12" s="346"/>
      <c r="E12" s="346"/>
      <c r="F12" s="346"/>
      <c r="G12" s="659"/>
      <c r="H12" s="647"/>
      <c r="I12" s="647"/>
    </row>
    <row r="13" spans="1:11" x14ac:dyDescent="0.25">
      <c r="A13" s="323"/>
      <c r="B13" s="323"/>
      <c r="C13" s="323"/>
      <c r="D13" s="346"/>
      <c r="E13" s="346"/>
      <c r="F13" s="346"/>
      <c r="G13" s="659"/>
      <c r="H13" s="647"/>
      <c r="I13" s="647"/>
    </row>
    <row r="14" spans="1:11" x14ac:dyDescent="0.25">
      <c r="A14" s="323"/>
      <c r="B14" s="323"/>
      <c r="C14" s="323"/>
      <c r="D14" s="346"/>
      <c r="E14" s="346"/>
      <c r="F14" s="346"/>
      <c r="G14" s="659"/>
      <c r="H14" s="647"/>
      <c r="I14" s="647"/>
    </row>
    <row r="15" spans="1:11" x14ac:dyDescent="0.25">
      <c r="A15" s="323"/>
      <c r="B15" s="323"/>
      <c r="C15" s="323"/>
      <c r="D15" s="346"/>
      <c r="E15" s="346"/>
      <c r="F15" s="346"/>
      <c r="G15" s="659"/>
      <c r="H15" s="647"/>
      <c r="I15" s="647"/>
    </row>
    <row r="16" spans="1:11" x14ac:dyDescent="0.25">
      <c r="A16" s="323"/>
      <c r="B16" s="323"/>
      <c r="C16" s="323"/>
      <c r="D16" s="346"/>
      <c r="E16" s="346"/>
      <c r="F16" s="346"/>
      <c r="G16" s="659"/>
      <c r="H16" s="647"/>
      <c r="I16" s="647"/>
      <c r="J16" s="336"/>
    </row>
    <row r="17" spans="1:10" x14ac:dyDescent="0.25">
      <c r="A17" s="323"/>
      <c r="B17" s="737"/>
      <c r="C17" s="737"/>
      <c r="D17" s="326"/>
      <c r="E17" s="346"/>
      <c r="F17" s="346"/>
      <c r="G17" s="659"/>
      <c r="H17" s="647"/>
      <c r="I17" s="647"/>
    </row>
    <row r="18" spans="1:10" x14ac:dyDescent="0.25">
      <c r="A18" s="323"/>
      <c r="B18" s="323"/>
      <c r="C18" s="323"/>
      <c r="D18" s="346"/>
      <c r="E18" s="346"/>
      <c r="F18" s="346"/>
      <c r="G18" s="659"/>
      <c r="H18" s="647"/>
      <c r="I18" s="647"/>
      <c r="J18" s="335"/>
    </row>
    <row r="19" spans="1:10" x14ac:dyDescent="0.25">
      <c r="A19" s="323"/>
      <c r="B19" s="323"/>
      <c r="C19" s="323"/>
      <c r="D19" s="346"/>
      <c r="E19" s="346"/>
      <c r="F19" s="653"/>
      <c r="G19" s="659"/>
      <c r="H19" s="647"/>
      <c r="I19" s="647"/>
    </row>
    <row r="20" spans="1:10" x14ac:dyDescent="0.25">
      <c r="A20" s="323"/>
      <c r="B20" s="323"/>
      <c r="C20" s="323"/>
      <c r="D20" s="346"/>
      <c r="E20" s="346"/>
      <c r="F20" s="653"/>
      <c r="G20" s="659"/>
      <c r="H20" s="647"/>
      <c r="I20" s="647"/>
    </row>
    <row r="21" spans="1:10" x14ac:dyDescent="0.25">
      <c r="A21" s="323"/>
      <c r="B21" s="323"/>
      <c r="C21" s="323"/>
      <c r="D21" s="346"/>
      <c r="E21" s="346"/>
      <c r="F21" s="653"/>
      <c r="G21" s="659"/>
      <c r="H21" s="647"/>
      <c r="I21" s="647"/>
    </row>
    <row r="22" spans="1:10" x14ac:dyDescent="0.25">
      <c r="A22" s="323"/>
      <c r="B22" s="323"/>
      <c r="C22" s="323"/>
      <c r="D22" s="346"/>
      <c r="E22" s="346"/>
      <c r="F22" s="653"/>
      <c r="G22" s="659"/>
      <c r="H22" s="647"/>
      <c r="I22" s="647"/>
    </row>
    <row r="23" spans="1:10" x14ac:dyDescent="0.25">
      <c r="A23" s="323"/>
      <c r="B23" s="323"/>
      <c r="C23" s="323"/>
      <c r="D23" s="346"/>
      <c r="E23" s="346"/>
      <c r="F23" s="660"/>
      <c r="G23" s="661"/>
      <c r="H23" s="647"/>
      <c r="I23" s="647"/>
      <c r="J23" s="335"/>
    </row>
    <row r="24" spans="1:10" x14ac:dyDescent="0.25">
      <c r="A24" s="323"/>
      <c r="B24" s="323"/>
      <c r="C24" s="323"/>
      <c r="D24" s="346"/>
      <c r="E24" s="346"/>
      <c r="F24" s="653"/>
      <c r="G24" s="658"/>
      <c r="H24" s="647"/>
      <c r="I24" s="647"/>
    </row>
    <row r="25" spans="1:10" x14ac:dyDescent="0.25">
      <c r="A25" s="323"/>
      <c r="B25" s="323"/>
      <c r="C25" s="323"/>
      <c r="D25" s="346"/>
      <c r="E25" s="346"/>
      <c r="F25" s="653"/>
      <c r="G25" s="659"/>
      <c r="H25" s="647"/>
      <c r="I25" s="647"/>
    </row>
    <row r="26" spans="1:10" x14ac:dyDescent="0.25">
      <c r="A26" s="323"/>
      <c r="B26" s="323"/>
      <c r="C26" s="323"/>
      <c r="D26" s="346"/>
      <c r="E26" s="346"/>
      <c r="F26" s="662"/>
      <c r="G26" s="659"/>
      <c r="H26" s="647"/>
      <c r="I26" s="647"/>
      <c r="J26" s="336"/>
    </row>
    <row r="27" spans="1:10" x14ac:dyDescent="0.25">
      <c r="A27" s="323"/>
      <c r="B27" s="323"/>
      <c r="C27" s="323"/>
      <c r="D27" s="346"/>
      <c r="E27" s="346"/>
      <c r="F27" s="653"/>
      <c r="G27" s="659"/>
      <c r="H27" s="647"/>
      <c r="I27" s="647"/>
    </row>
    <row r="28" spans="1:10" x14ac:dyDescent="0.25">
      <c r="A28" s="323"/>
      <c r="B28" s="323"/>
      <c r="C28" s="323"/>
      <c r="D28" s="346"/>
      <c r="E28" s="346"/>
      <c r="F28" s="346"/>
      <c r="G28" s="659"/>
      <c r="H28" s="647"/>
      <c r="I28" s="647"/>
      <c r="J28" s="335"/>
    </row>
    <row r="29" spans="1:10" x14ac:dyDescent="0.25">
      <c r="A29" s="323"/>
      <c r="B29" s="323"/>
      <c r="C29" s="323"/>
      <c r="D29" s="346"/>
      <c r="E29" s="346"/>
      <c r="F29" s="346"/>
      <c r="G29" s="659"/>
      <c r="H29" s="647"/>
      <c r="I29" s="647"/>
      <c r="J29" s="335"/>
    </row>
    <row r="30" spans="1:10" x14ac:dyDescent="0.25">
      <c r="A30" s="323"/>
      <c r="B30" s="323"/>
      <c r="C30" s="323"/>
      <c r="D30" s="346"/>
      <c r="E30" s="346"/>
      <c r="F30" s="660"/>
      <c r="G30" s="659"/>
      <c r="H30" s="647"/>
      <c r="I30" s="647"/>
      <c r="J30" s="335"/>
    </row>
    <row r="31" spans="1:10" x14ac:dyDescent="0.25">
      <c r="A31" s="323"/>
      <c r="B31" s="323"/>
      <c r="C31" s="323"/>
      <c r="D31" s="346"/>
      <c r="E31" s="346"/>
      <c r="F31" s="660"/>
      <c r="G31" s="566"/>
      <c r="H31" s="647"/>
      <c r="I31" s="647"/>
      <c r="J31" s="232"/>
    </row>
    <row r="32" spans="1:10" x14ac:dyDescent="0.25">
      <c r="A32" s="323"/>
      <c r="B32" s="323"/>
      <c r="C32" s="323"/>
      <c r="D32" s="346"/>
      <c r="E32" s="346"/>
      <c r="F32" s="564"/>
      <c r="G32" s="567"/>
      <c r="H32" s="647"/>
      <c r="I32" s="647"/>
      <c r="J32" s="232"/>
    </row>
    <row r="33" spans="1:11" x14ac:dyDescent="0.25">
      <c r="A33" s="323"/>
      <c r="B33" s="323"/>
      <c r="C33" s="323"/>
      <c r="D33" s="346"/>
      <c r="E33" s="346"/>
      <c r="F33" s="660"/>
      <c r="G33" s="567"/>
      <c r="H33" s="647"/>
      <c r="I33" s="647"/>
      <c r="J33" s="335"/>
      <c r="K33" s="335"/>
    </row>
    <row r="34" spans="1:11" x14ac:dyDescent="0.25">
      <c r="A34" s="323"/>
      <c r="B34" s="323"/>
      <c r="C34" s="323"/>
      <c r="D34" s="346"/>
      <c r="E34" s="346"/>
      <c r="F34" s="653"/>
      <c r="G34" s="659"/>
      <c r="H34" s="647"/>
      <c r="I34" s="647"/>
    </row>
    <row r="35" spans="1:11" x14ac:dyDescent="0.25">
      <c r="A35" s="323"/>
      <c r="B35" s="323"/>
      <c r="C35" s="323"/>
      <c r="D35" s="346"/>
      <c r="E35" s="346"/>
      <c r="F35" s="653"/>
      <c r="G35" s="659"/>
      <c r="H35" s="647"/>
      <c r="I35" s="647"/>
      <c r="K35" s="337"/>
    </row>
    <row r="36" spans="1:11" x14ac:dyDescent="0.25">
      <c r="A36" s="323"/>
      <c r="B36" s="323"/>
      <c r="C36" s="323"/>
      <c r="D36" s="346"/>
      <c r="E36" s="346"/>
      <c r="F36" s="653"/>
      <c r="G36" s="567"/>
      <c r="H36" s="647"/>
      <c r="I36" s="647"/>
    </row>
    <row r="37" spans="1:11" x14ac:dyDescent="0.25">
      <c r="A37" s="323"/>
      <c r="B37" s="323"/>
      <c r="C37" s="323"/>
      <c r="D37" s="346"/>
      <c r="E37" s="346"/>
      <c r="F37" s="663"/>
      <c r="G37" s="567"/>
      <c r="H37" s="647"/>
      <c r="I37" s="647"/>
      <c r="J37" s="338"/>
    </row>
    <row r="38" spans="1:11" x14ac:dyDescent="0.25">
      <c r="A38" s="323"/>
      <c r="B38" s="323"/>
      <c r="C38" s="323"/>
      <c r="D38" s="346"/>
      <c r="E38" s="346"/>
      <c r="F38" s="653"/>
      <c r="G38" s="659"/>
      <c r="H38" s="647"/>
      <c r="I38" s="647"/>
    </row>
    <row r="39" spans="1:11" x14ac:dyDescent="0.25">
      <c r="A39" s="323"/>
      <c r="B39" s="323"/>
      <c r="C39" s="323"/>
      <c r="D39" s="346"/>
      <c r="E39" s="346"/>
      <c r="F39" s="653"/>
      <c r="G39" s="659"/>
      <c r="H39" s="647"/>
      <c r="I39" s="647"/>
    </row>
    <row r="40" spans="1:11" ht="16.149999999999999" customHeight="1" x14ac:dyDescent="0.25">
      <c r="A40" s="323"/>
      <c r="B40" s="323"/>
      <c r="C40" s="323"/>
      <c r="D40" s="346"/>
      <c r="E40" s="346"/>
      <c r="F40" s="346"/>
      <c r="G40" s="568"/>
      <c r="H40" s="647"/>
      <c r="I40" s="647"/>
    </row>
    <row r="41" spans="1:11" x14ac:dyDescent="0.25">
      <c r="A41" s="323"/>
      <c r="B41" s="323"/>
      <c r="C41" s="323"/>
      <c r="D41" s="346"/>
      <c r="E41" s="346"/>
      <c r="F41" s="564"/>
      <c r="G41" s="659"/>
      <c r="H41" s="647"/>
      <c r="I41" s="647"/>
    </row>
    <row r="42" spans="1:11" x14ac:dyDescent="0.25">
      <c r="A42" s="323"/>
      <c r="B42" s="323"/>
      <c r="C42" s="323"/>
      <c r="D42" s="346"/>
      <c r="E42" s="346"/>
      <c r="F42" s="660"/>
      <c r="G42" s="659"/>
      <c r="H42" s="647"/>
      <c r="I42" s="647"/>
    </row>
    <row r="43" spans="1:11" x14ac:dyDescent="0.25">
      <c r="A43" s="646"/>
      <c r="B43" s="646"/>
      <c r="C43" s="646"/>
      <c r="D43" s="346"/>
      <c r="E43" s="346"/>
      <c r="F43" s="346"/>
      <c r="G43" s="346"/>
      <c r="H43" s="647"/>
      <c r="I43" s="647"/>
    </row>
    <row r="44" spans="1:11" x14ac:dyDescent="0.25">
      <c r="A44" s="646"/>
      <c r="B44" s="646"/>
      <c r="C44" s="646"/>
      <c r="D44" s="346"/>
      <c r="E44" s="346"/>
      <c r="F44" s="564"/>
      <c r="G44" s="346"/>
      <c r="H44" s="647"/>
      <c r="I44" s="647"/>
    </row>
    <row r="45" spans="1:11" x14ac:dyDescent="0.25">
      <c r="A45" s="646"/>
      <c r="B45" s="646"/>
      <c r="C45" s="646"/>
      <c r="D45" s="346"/>
      <c r="E45" s="346"/>
      <c r="F45" s="660"/>
      <c r="G45" s="346"/>
      <c r="H45" s="647"/>
      <c r="I45" s="647"/>
    </row>
    <row r="46" spans="1:11" x14ac:dyDescent="0.25">
      <c r="A46" s="646"/>
      <c r="B46" s="646"/>
      <c r="C46" s="646"/>
      <c r="D46" s="346"/>
      <c r="E46" s="346"/>
      <c r="F46" s="346"/>
      <c r="G46" s="346"/>
      <c r="H46" s="647"/>
      <c r="I46" s="647"/>
    </row>
    <row r="47" spans="1:11" x14ac:dyDescent="0.25">
      <c r="A47" s="646"/>
      <c r="B47" s="646"/>
      <c r="C47" s="646"/>
      <c r="D47" s="346"/>
      <c r="E47" s="346"/>
      <c r="F47" s="346"/>
      <c r="G47" s="346"/>
      <c r="H47" s="647"/>
      <c r="I47" s="647"/>
    </row>
    <row r="48" spans="1:11" x14ac:dyDescent="0.25">
      <c r="A48" s="646"/>
      <c r="B48" s="646"/>
      <c r="C48" s="646"/>
      <c r="D48" s="346"/>
      <c r="E48" s="346"/>
      <c r="F48" s="346"/>
      <c r="H48" s="647"/>
      <c r="I48" s="647"/>
    </row>
    <row r="49" spans="1:9" x14ac:dyDescent="0.25">
      <c r="A49" s="646"/>
      <c r="B49" s="646"/>
      <c r="C49" s="646"/>
      <c r="D49" s="346"/>
      <c r="E49" s="346"/>
      <c r="F49" s="346"/>
      <c r="G49" s="346"/>
      <c r="H49" s="647"/>
      <c r="I49" s="647"/>
    </row>
    <row r="50" spans="1:9" x14ac:dyDescent="0.25">
      <c r="A50" s="646"/>
      <c r="B50" s="646"/>
      <c r="C50" s="646"/>
      <c r="D50" s="346"/>
      <c r="E50" s="646"/>
      <c r="F50" s="646"/>
      <c r="G50" s="346"/>
      <c r="H50" s="647"/>
      <c r="I50" s="647"/>
    </row>
    <row r="51" spans="1:9" x14ac:dyDescent="0.25">
      <c r="A51" s="646"/>
      <c r="B51" s="646"/>
      <c r="C51" s="646"/>
      <c r="D51" s="346"/>
      <c r="E51" s="346"/>
      <c r="F51" s="346"/>
      <c r="G51" s="346"/>
      <c r="H51" s="647"/>
      <c r="I51" s="647"/>
    </row>
    <row r="52" spans="1:9" x14ac:dyDescent="0.25">
      <c r="A52" s="646"/>
      <c r="B52" s="646"/>
      <c r="C52" s="646"/>
      <c r="D52" s="346"/>
      <c r="E52" s="346"/>
      <c r="F52" s="346"/>
      <c r="G52" s="346"/>
      <c r="H52" s="647"/>
      <c r="I52" s="647"/>
    </row>
    <row r="53" spans="1:9" x14ac:dyDescent="0.25">
      <c r="A53" s="646"/>
      <c r="B53" s="646"/>
      <c r="C53" s="646"/>
      <c r="D53" s="346"/>
      <c r="E53" s="346"/>
      <c r="F53" s="346"/>
      <c r="G53" s="346"/>
      <c r="H53" s="647"/>
      <c r="I53" s="647"/>
    </row>
    <row r="54" spans="1:9" x14ac:dyDescent="0.25">
      <c r="A54" s="646"/>
      <c r="B54" s="646"/>
      <c r="C54" s="646"/>
      <c r="D54" s="346"/>
      <c r="E54" s="346"/>
      <c r="F54" s="346"/>
      <c r="H54" s="647"/>
      <c r="I54" s="647"/>
    </row>
    <row r="55" spans="1:9" x14ac:dyDescent="0.25">
      <c r="A55" s="646"/>
      <c r="B55" s="646"/>
      <c r="C55" s="646"/>
      <c r="D55" s="346"/>
      <c r="E55" s="346"/>
      <c r="F55" s="346"/>
      <c r="G55" s="346"/>
      <c r="H55" s="647"/>
      <c r="I55" s="647"/>
    </row>
    <row r="56" spans="1:9" x14ac:dyDescent="0.25">
      <c r="A56" s="646"/>
      <c r="B56" s="646"/>
      <c r="C56" s="646"/>
      <c r="D56" s="346"/>
      <c r="E56" s="346"/>
      <c r="F56" s="346"/>
      <c r="G56" s="346"/>
      <c r="H56" s="647"/>
      <c r="I56" s="647"/>
    </row>
    <row r="57" spans="1:9" x14ac:dyDescent="0.25">
      <c r="A57" s="646"/>
      <c r="B57" s="646"/>
      <c r="C57" s="646"/>
      <c r="D57" s="346"/>
      <c r="E57" s="346"/>
      <c r="F57" s="346"/>
      <c r="G57" s="346"/>
      <c r="H57" s="647"/>
      <c r="I57" s="647"/>
    </row>
    <row r="58" spans="1:9" x14ac:dyDescent="0.25">
      <c r="A58" s="646"/>
      <c r="B58" s="646"/>
      <c r="C58" s="646"/>
      <c r="D58" s="346"/>
      <c r="E58" s="346"/>
      <c r="F58" s="346"/>
      <c r="G58" s="346"/>
      <c r="H58" s="647"/>
      <c r="I58" s="647"/>
    </row>
    <row r="59" spans="1:9" x14ac:dyDescent="0.25">
      <c r="A59" s="646"/>
      <c r="B59" s="646"/>
      <c r="C59" s="646"/>
      <c r="D59" s="346"/>
      <c r="E59" s="346"/>
      <c r="F59" s="346"/>
      <c r="G59" s="346"/>
      <c r="H59" s="647"/>
      <c r="I59" s="647"/>
    </row>
    <row r="60" spans="1:9" x14ac:dyDescent="0.25">
      <c r="A60" s="646"/>
      <c r="B60" s="646"/>
      <c r="C60" s="646"/>
      <c r="D60" s="346"/>
      <c r="E60" s="346"/>
      <c r="F60" s="346"/>
      <c r="G60" s="346"/>
      <c r="H60" s="647"/>
      <c r="I60" s="647"/>
    </row>
    <row r="61" spans="1:9" x14ac:dyDescent="0.25">
      <c r="A61" s="646"/>
      <c r="B61" s="646"/>
      <c r="C61" s="646"/>
      <c r="D61" s="346"/>
      <c r="E61" s="346"/>
      <c r="F61" s="346"/>
      <c r="G61" s="346"/>
      <c r="H61" s="647"/>
      <c r="I61" s="647"/>
    </row>
    <row r="62" spans="1:9" x14ac:dyDescent="0.25">
      <c r="A62" s="646"/>
      <c r="B62" s="646"/>
      <c r="C62" s="646"/>
      <c r="D62" s="346"/>
      <c r="E62" s="346"/>
      <c r="F62" s="346"/>
      <c r="G62" s="346"/>
      <c r="H62" s="647"/>
      <c r="I62" s="647"/>
    </row>
    <row r="63" spans="1:9" x14ac:dyDescent="0.25">
      <c r="A63" s="646"/>
      <c r="B63" s="646"/>
      <c r="C63" s="646"/>
      <c r="D63" s="346"/>
      <c r="E63" s="346"/>
      <c r="F63" s="346"/>
      <c r="G63" s="329"/>
      <c r="H63" s="330"/>
      <c r="I63" s="330"/>
    </row>
    <row r="64" spans="1:9" x14ac:dyDescent="0.25">
      <c r="A64" s="646"/>
      <c r="B64" s="646"/>
      <c r="C64" s="646"/>
      <c r="D64" s="346"/>
      <c r="E64" s="346"/>
      <c r="F64" s="346"/>
      <c r="G64" s="329"/>
      <c r="H64" s="330"/>
      <c r="I64" s="330"/>
    </row>
    <row r="65" spans="1:9" x14ac:dyDescent="0.25">
      <c r="A65" s="646"/>
      <c r="B65" s="646"/>
      <c r="C65" s="646"/>
      <c r="D65" s="346"/>
      <c r="E65" s="346"/>
      <c r="F65" s="346"/>
      <c r="G65" s="329"/>
      <c r="H65" s="330"/>
      <c r="I65" s="330"/>
    </row>
    <row r="66" spans="1:9" x14ac:dyDescent="0.25">
      <c r="A66" s="646"/>
      <c r="B66" s="646"/>
      <c r="C66" s="646"/>
      <c r="D66" s="346"/>
      <c r="E66" s="346"/>
      <c r="F66" s="346"/>
      <c r="G66" s="329"/>
      <c r="H66" s="330"/>
      <c r="I66" s="330"/>
    </row>
    <row r="67" spans="1:9" x14ac:dyDescent="0.25">
      <c r="A67" s="646"/>
      <c r="B67" s="646"/>
      <c r="C67" s="646"/>
      <c r="D67" s="346"/>
      <c r="E67" s="346"/>
      <c r="F67" s="346"/>
      <c r="G67" s="329"/>
      <c r="H67" s="330"/>
      <c r="I67" s="330"/>
    </row>
    <row r="68" spans="1:9" x14ac:dyDescent="0.25">
      <c r="A68" s="646"/>
      <c r="B68" s="646"/>
      <c r="C68" s="646"/>
      <c r="D68" s="346"/>
      <c r="E68" s="346"/>
      <c r="F68" s="346"/>
      <c r="G68" s="329"/>
      <c r="H68" s="330"/>
      <c r="I68" s="330"/>
    </row>
    <row r="69" spans="1:9" x14ac:dyDescent="0.25">
      <c r="A69" s="646"/>
      <c r="B69" s="646"/>
      <c r="C69" s="646"/>
      <c r="D69" s="346"/>
      <c r="E69" s="346"/>
      <c r="F69" s="346"/>
      <c r="G69" s="329"/>
      <c r="H69" s="330"/>
      <c r="I69" s="330"/>
    </row>
    <row r="70" spans="1:9" x14ac:dyDescent="0.25">
      <c r="A70" s="646"/>
      <c r="B70" s="646"/>
      <c r="C70" s="646"/>
      <c r="D70" s="346"/>
      <c r="E70" s="346"/>
      <c r="F70" s="346"/>
      <c r="G70" s="329"/>
      <c r="H70" s="330"/>
      <c r="I70" s="330"/>
    </row>
    <row r="71" spans="1:9" x14ac:dyDescent="0.25">
      <c r="A71" s="646"/>
      <c r="B71" s="646"/>
      <c r="C71" s="646"/>
      <c r="D71" s="346"/>
      <c r="E71" s="346"/>
      <c r="F71" s="346"/>
      <c r="G71" s="329"/>
      <c r="H71" s="330"/>
      <c r="I71" s="330"/>
    </row>
    <row r="72" spans="1:9" x14ac:dyDescent="0.25">
      <c r="A72" s="646"/>
      <c r="B72" s="646"/>
      <c r="C72" s="646"/>
      <c r="D72" s="346"/>
      <c r="E72" s="346"/>
      <c r="F72" s="330"/>
      <c r="G72" s="329"/>
      <c r="H72" s="330"/>
      <c r="I72" s="330"/>
    </row>
  </sheetData>
  <protectedRanges>
    <protectedRange password="C8DD" sqref="A3:C3 A6:C15" name="Plage1_4_5_1_1_3" securityDescriptor="O:WDG:WDD:(A;;CC;;;S-1-5-21-501367295-1437075540-709122288-2014)"/>
    <protectedRange password="C8DD" sqref="G40" name="Plage1_4_3_1" securityDescriptor="O:WDG:WDD:(A;;CC;;;S-1-5-21-501367295-1437075540-709122288-2014)"/>
    <protectedRange password="C8DD" sqref="A16:C42" name="Plage1_4_5_1_1" securityDescriptor="O:WDG:WDD:(A;;CC;;;S-1-5-21-501367295-1437075540-709122288-2014)"/>
    <protectedRange password="C8DD" sqref="D17" name="Plage1_4_3_1_1" securityDescriptor="O:WDG:WDD:(A;;CC;;;S-1-5-21-501367295-1437075540-709122288-2014)"/>
  </protectedRanges>
  <autoFilter ref="A2:I73"/>
  <pageMargins left="0.31496062992125984" right="0.31496062992125984" top="0.74803149606299213" bottom="0.74803149606299213" header="0.31496062992125984" footer="0.31496062992125984"/>
  <pageSetup paperSize="9" scale="61" orientation="landscape" horizontalDpi="4294967293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LISTE!$D$2:$D$12</xm:f>
          </x14:formula1>
          <xm:sqref>I3:I1048576</xm:sqref>
        </x14:dataValidation>
        <x14:dataValidation type="list" allowBlank="1" showInputMessage="1" showErrorMessage="1">
          <x14:formula1>
            <xm:f>LISTE!$A$2:$A$7</xm:f>
          </x14:formula1>
          <xm:sqref>E3:E1048576</xm:sqref>
        </x14:dataValidation>
        <x14:dataValidation type="list" allowBlank="1" showInputMessage="1" showErrorMessage="1">
          <x14:formula1>
            <xm:f>LISTE!$C$2:$C$31</xm:f>
          </x14:formula1>
          <xm:sqref>H3:H1048576</xm:sqref>
        </x14:dataValidation>
        <x14:dataValidation type="list" allowBlank="1" showInputMessage="1" showErrorMessage="1">
          <x14:formula1>
            <xm:f>LISTE!$B$2:$B$491</xm:f>
          </x14:formula1>
          <xm:sqref>F3:F5 F43 F46:F1048576 F12:F18 F40 F28:F29 F7:F10</xm:sqref>
        </x14:dataValidation>
        <x14:dataValidation type="list" allowBlank="1" showInputMessage="1" showErrorMessage="1">
          <x14:formula1>
            <xm:f>LISTE!$E$2:$E$22</xm:f>
          </x14:formula1>
          <xm:sqref>B3:C1048576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L72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2" sqref="H2"/>
    </sheetView>
  </sheetViews>
  <sheetFormatPr baseColWidth="10" defaultColWidth="11.5703125" defaultRowHeight="12.75" x14ac:dyDescent="0.25"/>
  <cols>
    <col min="1" max="1" width="9.85546875" style="665" bestFit="1" customWidth="1"/>
    <col min="2" max="2" width="33.85546875" style="664" bestFit="1" customWidth="1"/>
    <col min="3" max="3" width="16.42578125" style="664" bestFit="1" customWidth="1"/>
    <col min="4" max="4" width="13.85546875" style="664" bestFit="1" customWidth="1"/>
    <col min="5" max="5" width="18.7109375" style="664" bestFit="1" customWidth="1"/>
    <col min="6" max="6" width="21.5703125" style="664" bestFit="1" customWidth="1"/>
    <col min="7" max="7" width="16.5703125" style="664" bestFit="1" customWidth="1"/>
    <col min="8" max="8" width="15.42578125" style="664" bestFit="1" customWidth="1"/>
    <col min="9" max="9" width="20.7109375" style="666" customWidth="1"/>
    <col min="10" max="10" width="8.7109375" style="667" bestFit="1" customWidth="1"/>
    <col min="11" max="12" width="14.5703125" style="331" bestFit="1" customWidth="1"/>
    <col min="13" max="16384" width="11.5703125" style="331"/>
  </cols>
  <sheetData>
    <row r="1" spans="1:12" x14ac:dyDescent="0.25">
      <c r="A1" s="334"/>
      <c r="B1" s="332"/>
      <c r="C1" s="332"/>
      <c r="D1" s="332"/>
      <c r="E1" s="332"/>
      <c r="F1" s="332"/>
      <c r="G1" s="332"/>
      <c r="H1" s="341">
        <f>+SUBTOTAL(3,H3:H1048576)</f>
        <v>0</v>
      </c>
      <c r="I1" s="342">
        <f>+SUBTOTAL(9,I3:I1048576)</f>
        <v>0</v>
      </c>
      <c r="J1" s="343"/>
    </row>
    <row r="2" spans="1:12" x14ac:dyDescent="0.25">
      <c r="A2" s="459" t="s">
        <v>18</v>
      </c>
      <c r="B2" s="339" t="s">
        <v>19</v>
      </c>
      <c r="C2" s="339" t="s">
        <v>20</v>
      </c>
      <c r="D2" s="339" t="s">
        <v>21</v>
      </c>
      <c r="E2" s="339" t="s">
        <v>22</v>
      </c>
      <c r="F2" s="339" t="s">
        <v>23</v>
      </c>
      <c r="G2" s="340" t="s">
        <v>24</v>
      </c>
      <c r="H2" s="340" t="s">
        <v>25</v>
      </c>
      <c r="I2" s="460" t="s">
        <v>26</v>
      </c>
      <c r="J2" s="340" t="s">
        <v>27</v>
      </c>
    </row>
    <row r="3" spans="1:12" x14ac:dyDescent="0.25">
      <c r="A3" s="323"/>
      <c r="B3" s="653"/>
      <c r="C3" s="346"/>
      <c r="D3" s="346"/>
      <c r="E3" s="655"/>
      <c r="F3" s="647"/>
      <c r="G3" s="647"/>
      <c r="H3" s="346"/>
      <c r="I3" s="650"/>
      <c r="J3" s="656"/>
      <c r="L3" s="335"/>
    </row>
    <row r="4" spans="1:12" x14ac:dyDescent="0.25">
      <c r="A4" s="657"/>
      <c r="B4" s="653"/>
      <c r="C4" s="653"/>
      <c r="D4" s="653"/>
      <c r="E4" s="658"/>
      <c r="F4" s="653"/>
      <c r="G4" s="653"/>
      <c r="H4" s="653"/>
      <c r="I4" s="650"/>
      <c r="J4" s="656"/>
    </row>
    <row r="5" spans="1:12" x14ac:dyDescent="0.25">
      <c r="A5" s="657"/>
      <c r="B5" s="653"/>
      <c r="C5" s="653"/>
      <c r="D5" s="653"/>
      <c r="E5" s="658"/>
      <c r="F5" s="653"/>
      <c r="G5" s="653"/>
      <c r="H5" s="653"/>
      <c r="I5" s="650"/>
      <c r="J5" s="656"/>
      <c r="L5" s="335"/>
    </row>
    <row r="6" spans="1:12" x14ac:dyDescent="0.25">
      <c r="A6" s="323"/>
      <c r="B6" s="346"/>
      <c r="C6" s="346"/>
      <c r="D6" s="346"/>
      <c r="E6" s="655"/>
      <c r="F6" s="647"/>
      <c r="G6" s="647"/>
      <c r="H6" s="346"/>
      <c r="I6" s="650"/>
      <c r="J6" s="656"/>
      <c r="K6" s="335"/>
    </row>
    <row r="7" spans="1:12" x14ac:dyDescent="0.25">
      <c r="A7" s="323"/>
      <c r="B7" s="346"/>
      <c r="C7" s="346"/>
      <c r="D7" s="346"/>
      <c r="E7" s="655"/>
      <c r="F7" s="647"/>
      <c r="G7" s="647"/>
      <c r="H7" s="346"/>
      <c r="I7" s="650"/>
      <c r="J7" s="656"/>
    </row>
    <row r="8" spans="1:12" x14ac:dyDescent="0.25">
      <c r="A8" s="323"/>
      <c r="B8" s="346"/>
      <c r="C8" s="346"/>
      <c r="D8" s="346"/>
      <c r="E8" s="655"/>
      <c r="F8" s="647"/>
      <c r="G8" s="647"/>
      <c r="H8" s="346"/>
      <c r="I8" s="650"/>
      <c r="J8" s="656"/>
      <c r="K8" s="335"/>
    </row>
    <row r="9" spans="1:12" x14ac:dyDescent="0.25">
      <c r="A9" s="323"/>
      <c r="B9" s="346"/>
      <c r="C9" s="346"/>
      <c r="D9" s="346"/>
      <c r="E9" s="655"/>
      <c r="F9" s="647"/>
      <c r="G9" s="647"/>
      <c r="H9" s="558"/>
      <c r="I9" s="325"/>
      <c r="J9" s="656"/>
    </row>
    <row r="10" spans="1:12" x14ac:dyDescent="0.25">
      <c r="A10" s="323"/>
      <c r="B10" s="346"/>
      <c r="C10" s="346"/>
      <c r="D10" s="346"/>
      <c r="E10" s="659"/>
      <c r="F10" s="647"/>
      <c r="G10" s="647"/>
      <c r="H10" s="346"/>
      <c r="I10" s="325"/>
      <c r="J10" s="656"/>
    </row>
    <row r="11" spans="1:12" x14ac:dyDescent="0.25">
      <c r="A11" s="323"/>
      <c r="B11" s="346"/>
      <c r="C11" s="346"/>
      <c r="D11" s="346"/>
      <c r="E11" s="659"/>
      <c r="F11" s="647"/>
      <c r="G11" s="647"/>
      <c r="H11" s="346"/>
      <c r="I11" s="325"/>
      <c r="J11" s="656"/>
    </row>
    <row r="12" spans="1:12" x14ac:dyDescent="0.25">
      <c r="A12" s="323"/>
      <c r="B12" s="346"/>
      <c r="C12" s="346"/>
      <c r="D12" s="346"/>
      <c r="E12" s="659"/>
      <c r="F12" s="647"/>
      <c r="G12" s="647"/>
      <c r="H12" s="346"/>
      <c r="I12" s="325"/>
      <c r="J12" s="656"/>
    </row>
    <row r="13" spans="1:12" x14ac:dyDescent="0.25">
      <c r="A13" s="323"/>
      <c r="B13" s="346"/>
      <c r="C13" s="346"/>
      <c r="D13" s="346"/>
      <c r="E13" s="659"/>
      <c r="F13" s="647"/>
      <c r="G13" s="647"/>
      <c r="H13" s="346"/>
      <c r="I13" s="325"/>
      <c r="J13" s="656"/>
    </row>
    <row r="14" spans="1:12" x14ac:dyDescent="0.25">
      <c r="A14" s="323"/>
      <c r="B14" s="346"/>
      <c r="C14" s="346"/>
      <c r="D14" s="346"/>
      <c r="E14" s="659"/>
      <c r="F14" s="647"/>
      <c r="G14" s="647"/>
      <c r="H14" s="346"/>
      <c r="I14" s="325"/>
      <c r="J14" s="656"/>
    </row>
    <row r="15" spans="1:12" x14ac:dyDescent="0.25">
      <c r="A15" s="323"/>
      <c r="B15" s="346"/>
      <c r="C15" s="346"/>
      <c r="D15" s="346"/>
      <c r="E15" s="659"/>
      <c r="F15" s="647"/>
      <c r="G15" s="647"/>
      <c r="H15" s="346"/>
      <c r="I15" s="325"/>
      <c r="J15" s="656"/>
    </row>
    <row r="16" spans="1:12" x14ac:dyDescent="0.25">
      <c r="A16" s="323"/>
      <c r="B16" s="346"/>
      <c r="C16" s="346"/>
      <c r="D16" s="346"/>
      <c r="E16" s="659"/>
      <c r="F16" s="647"/>
      <c r="G16" s="647"/>
      <c r="H16" s="346"/>
      <c r="I16" s="325"/>
      <c r="J16" s="656"/>
      <c r="K16" s="336"/>
    </row>
    <row r="17" spans="1:11" x14ac:dyDescent="0.25">
      <c r="A17" s="323"/>
      <c r="B17" s="326"/>
      <c r="C17" s="346"/>
      <c r="D17" s="346"/>
      <c r="E17" s="659"/>
      <c r="F17" s="647"/>
      <c r="G17" s="647"/>
      <c r="H17" s="346"/>
      <c r="I17" s="650"/>
      <c r="J17" s="656"/>
    </row>
    <row r="18" spans="1:11" x14ac:dyDescent="0.25">
      <c r="A18" s="323"/>
      <c r="B18" s="346"/>
      <c r="C18" s="346"/>
      <c r="D18" s="346"/>
      <c r="E18" s="659"/>
      <c r="F18" s="647"/>
      <c r="G18" s="647"/>
      <c r="H18" s="346"/>
      <c r="I18" s="650"/>
      <c r="J18" s="656"/>
      <c r="K18" s="335"/>
    </row>
    <row r="19" spans="1:11" x14ac:dyDescent="0.25">
      <c r="A19" s="323"/>
      <c r="B19" s="346"/>
      <c r="C19" s="346"/>
      <c r="D19" s="653"/>
      <c r="E19" s="659"/>
      <c r="F19" s="647"/>
      <c r="G19" s="647"/>
      <c r="H19" s="346"/>
      <c r="I19" s="650"/>
      <c r="J19" s="656"/>
    </row>
    <row r="20" spans="1:11" x14ac:dyDescent="0.25">
      <c r="A20" s="323"/>
      <c r="B20" s="346"/>
      <c r="C20" s="346"/>
      <c r="D20" s="653"/>
      <c r="E20" s="659"/>
      <c r="F20" s="647"/>
      <c r="G20" s="647"/>
      <c r="H20" s="346"/>
      <c r="I20" s="650"/>
      <c r="J20" s="656"/>
    </row>
    <row r="21" spans="1:11" x14ac:dyDescent="0.25">
      <c r="A21" s="323"/>
      <c r="B21" s="346"/>
      <c r="C21" s="346"/>
      <c r="D21" s="653"/>
      <c r="E21" s="659"/>
      <c r="F21" s="647"/>
      <c r="G21" s="647"/>
      <c r="H21" s="346"/>
      <c r="I21" s="650"/>
      <c r="J21" s="656"/>
    </row>
    <row r="22" spans="1:11" x14ac:dyDescent="0.25">
      <c r="A22" s="323"/>
      <c r="B22" s="346"/>
      <c r="C22" s="346"/>
      <c r="D22" s="653"/>
      <c r="E22" s="659"/>
      <c r="F22" s="647"/>
      <c r="G22" s="647"/>
      <c r="H22" s="346"/>
      <c r="I22" s="650"/>
      <c r="J22" s="656"/>
    </row>
    <row r="23" spans="1:11" x14ac:dyDescent="0.25">
      <c r="A23" s="323"/>
      <c r="B23" s="346"/>
      <c r="C23" s="346"/>
      <c r="D23" s="660"/>
      <c r="E23" s="661"/>
      <c r="F23" s="647"/>
      <c r="G23" s="647"/>
      <c r="H23" s="346"/>
      <c r="I23" s="650"/>
      <c r="J23" s="656"/>
      <c r="K23" s="335"/>
    </row>
    <row r="24" spans="1:11" x14ac:dyDescent="0.25">
      <c r="A24" s="323"/>
      <c r="B24" s="346"/>
      <c r="C24" s="346"/>
      <c r="D24" s="653"/>
      <c r="E24" s="661"/>
      <c r="F24" s="647"/>
      <c r="G24" s="647"/>
      <c r="H24" s="346"/>
      <c r="I24" s="325"/>
      <c r="J24" s="656"/>
    </row>
    <row r="25" spans="1:11" x14ac:dyDescent="0.25">
      <c r="A25" s="323"/>
      <c r="B25" s="346"/>
      <c r="C25" s="346"/>
      <c r="D25" s="653"/>
      <c r="E25" s="659"/>
      <c r="F25" s="647"/>
      <c r="G25" s="647"/>
      <c r="H25" s="346"/>
      <c r="I25" s="325"/>
      <c r="J25" s="656"/>
    </row>
    <row r="26" spans="1:11" x14ac:dyDescent="0.25">
      <c r="A26" s="323"/>
      <c r="B26" s="346"/>
      <c r="C26" s="346"/>
      <c r="D26" s="662"/>
      <c r="E26" s="659"/>
      <c r="F26" s="647"/>
      <c r="G26" s="647"/>
      <c r="H26" s="346"/>
      <c r="I26" s="325"/>
      <c r="J26" s="656"/>
      <c r="K26" s="336"/>
    </row>
    <row r="27" spans="1:11" x14ac:dyDescent="0.25">
      <c r="A27" s="323"/>
      <c r="B27" s="346"/>
      <c r="C27" s="346"/>
      <c r="D27" s="653"/>
      <c r="E27" s="659"/>
      <c r="F27" s="647"/>
      <c r="G27" s="647"/>
      <c r="H27" s="346"/>
      <c r="I27" s="650"/>
      <c r="J27" s="656"/>
    </row>
    <row r="28" spans="1:11" x14ac:dyDescent="0.25">
      <c r="A28" s="323"/>
      <c r="B28" s="346"/>
      <c r="C28" s="346"/>
      <c r="D28" s="346"/>
      <c r="E28" s="659"/>
      <c r="F28" s="647"/>
      <c r="G28" s="647"/>
      <c r="H28" s="346"/>
      <c r="I28" s="650"/>
      <c r="J28" s="656"/>
      <c r="K28" s="335"/>
    </row>
    <row r="29" spans="1:11" x14ac:dyDescent="0.25">
      <c r="A29" s="323"/>
      <c r="B29" s="346"/>
      <c r="C29" s="346"/>
      <c r="D29" s="346"/>
      <c r="E29" s="659"/>
      <c r="F29" s="647"/>
      <c r="G29" s="647"/>
      <c r="H29" s="346"/>
      <c r="I29" s="650"/>
      <c r="J29" s="656"/>
      <c r="K29" s="335"/>
    </row>
    <row r="30" spans="1:11" x14ac:dyDescent="0.25">
      <c r="A30" s="323"/>
      <c r="B30" s="346"/>
      <c r="C30" s="346"/>
      <c r="D30" s="660"/>
      <c r="E30" s="659"/>
      <c r="F30" s="647"/>
      <c r="G30" s="647"/>
      <c r="H30" s="346"/>
      <c r="I30" s="650"/>
      <c r="J30" s="656"/>
      <c r="K30" s="335"/>
    </row>
    <row r="31" spans="1:11" x14ac:dyDescent="0.25">
      <c r="A31" s="323"/>
      <c r="B31" s="346"/>
      <c r="C31" s="346"/>
      <c r="D31" s="660"/>
      <c r="E31" s="566"/>
      <c r="F31" s="647"/>
      <c r="G31" s="647"/>
      <c r="H31" s="346"/>
      <c r="I31" s="325"/>
      <c r="J31" s="656"/>
      <c r="K31" s="232"/>
    </row>
    <row r="32" spans="1:11" x14ac:dyDescent="0.25">
      <c r="A32" s="323"/>
      <c r="B32" s="346"/>
      <c r="C32" s="346"/>
      <c r="D32" s="564"/>
      <c r="E32" s="567"/>
      <c r="F32" s="647"/>
      <c r="G32" s="647"/>
      <c r="H32" s="346"/>
      <c r="I32" s="325"/>
      <c r="J32" s="656"/>
      <c r="K32" s="232"/>
    </row>
    <row r="33" spans="1:12" x14ac:dyDescent="0.25">
      <c r="A33" s="323"/>
      <c r="B33" s="346"/>
      <c r="C33" s="346"/>
      <c r="D33" s="660"/>
      <c r="E33" s="567"/>
      <c r="F33" s="647"/>
      <c r="G33" s="647"/>
      <c r="H33" s="346"/>
      <c r="I33" s="650"/>
      <c r="J33" s="656"/>
      <c r="K33" s="335"/>
      <c r="L33" s="335"/>
    </row>
    <row r="34" spans="1:12" x14ac:dyDescent="0.25">
      <c r="A34" s="323"/>
      <c r="B34" s="346"/>
      <c r="C34" s="346"/>
      <c r="D34" s="653"/>
      <c r="E34" s="659"/>
      <c r="F34" s="647"/>
      <c r="G34" s="647"/>
      <c r="H34" s="346"/>
      <c r="I34" s="650"/>
      <c r="J34" s="656"/>
    </row>
    <row r="35" spans="1:12" x14ac:dyDescent="0.25">
      <c r="A35" s="323"/>
      <c r="B35" s="346"/>
      <c r="C35" s="346"/>
      <c r="D35" s="653"/>
      <c r="E35" s="659"/>
      <c r="F35" s="647"/>
      <c r="G35" s="647"/>
      <c r="H35" s="346"/>
      <c r="I35" s="650"/>
      <c r="J35" s="656"/>
      <c r="L35" s="337"/>
    </row>
    <row r="36" spans="1:12" x14ac:dyDescent="0.25">
      <c r="A36" s="323"/>
      <c r="B36" s="346"/>
      <c r="C36" s="346"/>
      <c r="D36" s="653"/>
      <c r="E36" s="567"/>
      <c r="F36" s="647"/>
      <c r="G36" s="647"/>
      <c r="H36" s="346"/>
      <c r="I36" s="650"/>
      <c r="J36" s="656"/>
    </row>
    <row r="37" spans="1:12" x14ac:dyDescent="0.25">
      <c r="A37" s="323"/>
      <c r="B37" s="346"/>
      <c r="C37" s="346"/>
      <c r="D37" s="663"/>
      <c r="E37" s="567"/>
      <c r="F37" s="647"/>
      <c r="G37" s="647"/>
      <c r="H37" s="346"/>
      <c r="I37" s="650"/>
      <c r="J37" s="656"/>
      <c r="K37" s="338"/>
    </row>
    <row r="38" spans="1:12" x14ac:dyDescent="0.25">
      <c r="A38" s="323"/>
      <c r="B38" s="346"/>
      <c r="C38" s="346"/>
      <c r="D38" s="653"/>
      <c r="E38" s="659"/>
      <c r="F38" s="647"/>
      <c r="G38" s="647"/>
      <c r="H38" s="346"/>
      <c r="I38" s="648"/>
      <c r="J38" s="656"/>
    </row>
    <row r="39" spans="1:12" x14ac:dyDescent="0.25">
      <c r="A39" s="323"/>
      <c r="B39" s="346"/>
      <c r="C39" s="346"/>
      <c r="D39" s="653"/>
      <c r="E39" s="659"/>
      <c r="F39" s="647"/>
      <c r="G39" s="647"/>
      <c r="H39" s="346"/>
      <c r="I39" s="648"/>
      <c r="J39" s="656"/>
    </row>
    <row r="40" spans="1:12" ht="16.149999999999999" customHeight="1" x14ac:dyDescent="0.25">
      <c r="A40" s="323"/>
      <c r="B40" s="346"/>
      <c r="C40" s="346"/>
      <c r="D40" s="346"/>
      <c r="E40" s="568"/>
      <c r="F40" s="647"/>
      <c r="G40" s="647"/>
      <c r="H40" s="346"/>
      <c r="I40" s="648"/>
      <c r="J40" s="656"/>
    </row>
    <row r="41" spans="1:12" x14ac:dyDescent="0.25">
      <c r="A41" s="323"/>
      <c r="B41" s="346"/>
      <c r="C41" s="346"/>
      <c r="D41" s="564"/>
      <c r="E41" s="659"/>
      <c r="F41" s="647"/>
      <c r="G41" s="647"/>
      <c r="H41" s="346"/>
      <c r="I41" s="648"/>
      <c r="J41" s="656"/>
    </row>
    <row r="42" spans="1:12" x14ac:dyDescent="0.25">
      <c r="A42" s="323"/>
      <c r="B42" s="346"/>
      <c r="C42" s="346"/>
      <c r="D42" s="660"/>
      <c r="E42" s="659"/>
      <c r="F42" s="647"/>
      <c r="G42" s="647"/>
      <c r="H42" s="346"/>
      <c r="I42" s="650"/>
      <c r="J42" s="656"/>
    </row>
    <row r="43" spans="1:12" x14ac:dyDescent="0.25">
      <c r="A43" s="646"/>
      <c r="B43" s="346"/>
      <c r="C43" s="346"/>
      <c r="D43" s="346"/>
      <c r="E43" s="346"/>
      <c r="F43" s="647"/>
      <c r="G43" s="647"/>
      <c r="H43" s="346"/>
      <c r="I43" s="648"/>
      <c r="J43" s="656"/>
    </row>
    <row r="44" spans="1:12" x14ac:dyDescent="0.25">
      <c r="A44" s="646"/>
      <c r="B44" s="346"/>
      <c r="C44" s="346"/>
      <c r="D44" s="564"/>
      <c r="E44" s="346"/>
      <c r="F44" s="647"/>
      <c r="G44" s="647"/>
      <c r="H44" s="346"/>
      <c r="I44" s="648"/>
      <c r="J44" s="656"/>
    </row>
    <row r="45" spans="1:12" x14ac:dyDescent="0.25">
      <c r="A45" s="646"/>
      <c r="B45" s="346"/>
      <c r="C45" s="346"/>
      <c r="D45" s="660"/>
      <c r="E45" s="346"/>
      <c r="F45" s="647"/>
      <c r="G45" s="647"/>
      <c r="H45" s="346"/>
      <c r="I45" s="650"/>
      <c r="J45" s="656"/>
    </row>
    <row r="46" spans="1:12" x14ac:dyDescent="0.25">
      <c r="A46" s="646"/>
      <c r="B46" s="346"/>
      <c r="C46" s="346"/>
      <c r="D46" s="346"/>
      <c r="E46" s="346"/>
      <c r="F46" s="647"/>
      <c r="G46" s="647"/>
      <c r="H46" s="346"/>
      <c r="I46" s="650"/>
      <c r="J46" s="656"/>
    </row>
    <row r="47" spans="1:12" x14ac:dyDescent="0.25">
      <c r="A47" s="646"/>
      <c r="B47" s="346"/>
      <c r="C47" s="346"/>
      <c r="D47" s="346"/>
      <c r="E47" s="346"/>
      <c r="F47" s="647"/>
      <c r="G47" s="647"/>
      <c r="H47" s="346"/>
      <c r="I47" s="650"/>
      <c r="J47" s="656"/>
    </row>
    <row r="48" spans="1:12" x14ac:dyDescent="0.25">
      <c r="A48" s="646"/>
      <c r="B48" s="346"/>
      <c r="C48" s="346"/>
      <c r="D48" s="346"/>
      <c r="F48" s="647"/>
      <c r="G48" s="647"/>
      <c r="H48" s="346"/>
      <c r="I48" s="650"/>
      <c r="J48" s="656"/>
    </row>
    <row r="49" spans="1:10" x14ac:dyDescent="0.25">
      <c r="A49" s="646"/>
      <c r="B49" s="346"/>
      <c r="C49" s="346"/>
      <c r="D49" s="346"/>
      <c r="E49" s="346"/>
      <c r="F49" s="647"/>
      <c r="G49" s="647"/>
      <c r="H49" s="346"/>
      <c r="I49" s="650"/>
      <c r="J49" s="656"/>
    </row>
    <row r="50" spans="1:10" x14ac:dyDescent="0.25">
      <c r="A50" s="646"/>
      <c r="B50" s="346"/>
      <c r="C50" s="646"/>
      <c r="D50" s="646"/>
      <c r="E50" s="346"/>
      <c r="F50" s="647"/>
      <c r="G50" s="647"/>
      <c r="H50" s="346"/>
      <c r="I50" s="650"/>
      <c r="J50" s="656"/>
    </row>
    <row r="51" spans="1:10" x14ac:dyDescent="0.25">
      <c r="A51" s="646"/>
      <c r="B51" s="346"/>
      <c r="C51" s="346"/>
      <c r="D51" s="346"/>
      <c r="E51" s="346"/>
      <c r="F51" s="647"/>
      <c r="G51" s="647"/>
      <c r="H51" s="346"/>
      <c r="I51" s="650"/>
      <c r="J51" s="656"/>
    </row>
    <row r="52" spans="1:10" x14ac:dyDescent="0.25">
      <c r="A52" s="646"/>
      <c r="B52" s="346"/>
      <c r="C52" s="346"/>
      <c r="D52" s="346"/>
      <c r="E52" s="346"/>
      <c r="F52" s="647"/>
      <c r="G52" s="647"/>
      <c r="H52" s="346"/>
      <c r="I52" s="650"/>
      <c r="J52" s="656"/>
    </row>
    <row r="53" spans="1:10" x14ac:dyDescent="0.25">
      <c r="A53" s="646"/>
      <c r="B53" s="346"/>
      <c r="C53" s="346"/>
      <c r="D53" s="346"/>
      <c r="E53" s="346"/>
      <c r="F53" s="647"/>
      <c r="G53" s="647"/>
      <c r="H53" s="346"/>
      <c r="I53" s="650"/>
      <c r="J53" s="656"/>
    </row>
    <row r="54" spans="1:10" x14ac:dyDescent="0.25">
      <c r="A54" s="646"/>
      <c r="B54" s="346"/>
      <c r="C54" s="346"/>
      <c r="D54" s="346"/>
      <c r="F54" s="647"/>
      <c r="G54" s="647"/>
      <c r="H54" s="346"/>
      <c r="I54" s="650"/>
      <c r="J54" s="656"/>
    </row>
    <row r="55" spans="1:10" x14ac:dyDescent="0.25">
      <c r="A55" s="646"/>
      <c r="B55" s="346"/>
      <c r="C55" s="346"/>
      <c r="D55" s="346"/>
      <c r="E55" s="346"/>
      <c r="F55" s="647"/>
      <c r="G55" s="647"/>
      <c r="H55" s="346"/>
      <c r="I55" s="650"/>
      <c r="J55" s="656"/>
    </row>
    <row r="56" spans="1:10" x14ac:dyDescent="0.25">
      <c r="A56" s="646"/>
      <c r="B56" s="346"/>
      <c r="C56" s="346"/>
      <c r="D56" s="346"/>
      <c r="E56" s="346"/>
      <c r="F56" s="647"/>
      <c r="G56" s="647"/>
      <c r="H56" s="346"/>
      <c r="I56" s="650"/>
      <c r="J56" s="656"/>
    </row>
    <row r="57" spans="1:10" x14ac:dyDescent="0.25">
      <c r="A57" s="646"/>
      <c r="B57" s="346"/>
      <c r="C57" s="346"/>
      <c r="D57" s="346"/>
      <c r="E57" s="346"/>
      <c r="F57" s="647"/>
      <c r="G57" s="647"/>
      <c r="H57" s="346"/>
      <c r="I57" s="650"/>
      <c r="J57" s="656"/>
    </row>
    <row r="58" spans="1:10" x14ac:dyDescent="0.25">
      <c r="A58" s="646"/>
      <c r="B58" s="346"/>
      <c r="C58" s="346"/>
      <c r="D58" s="346"/>
      <c r="E58" s="346"/>
      <c r="F58" s="647"/>
      <c r="G58" s="647"/>
      <c r="H58" s="346"/>
      <c r="I58" s="650"/>
      <c r="J58" s="656"/>
    </row>
    <row r="59" spans="1:10" x14ac:dyDescent="0.25">
      <c r="A59" s="646"/>
      <c r="B59" s="346"/>
      <c r="C59" s="346"/>
      <c r="D59" s="346"/>
      <c r="E59" s="346"/>
      <c r="F59" s="647"/>
      <c r="G59" s="647"/>
      <c r="H59" s="346"/>
      <c r="I59" s="650"/>
      <c r="J59" s="656"/>
    </row>
    <row r="60" spans="1:10" x14ac:dyDescent="0.25">
      <c r="A60" s="646"/>
      <c r="B60" s="346"/>
      <c r="C60" s="346"/>
      <c r="D60" s="346"/>
      <c r="E60" s="346"/>
      <c r="F60" s="647"/>
      <c r="G60" s="647"/>
      <c r="H60" s="346"/>
      <c r="I60" s="650"/>
      <c r="J60" s="656"/>
    </row>
    <row r="61" spans="1:10" x14ac:dyDescent="0.25">
      <c r="A61" s="646"/>
      <c r="B61" s="346"/>
      <c r="C61" s="346"/>
      <c r="D61" s="346"/>
      <c r="E61" s="346"/>
      <c r="F61" s="647"/>
      <c r="G61" s="647"/>
      <c r="H61" s="346"/>
      <c r="I61" s="650"/>
      <c r="J61" s="656"/>
    </row>
    <row r="62" spans="1:10" x14ac:dyDescent="0.25">
      <c r="A62" s="646"/>
      <c r="B62" s="346"/>
      <c r="C62" s="346"/>
      <c r="D62" s="346"/>
      <c r="E62" s="346"/>
      <c r="F62" s="647"/>
      <c r="G62" s="647"/>
      <c r="H62" s="346"/>
      <c r="I62" s="650"/>
      <c r="J62" s="656"/>
    </row>
    <row r="63" spans="1:10" x14ac:dyDescent="0.25">
      <c r="A63" s="646"/>
      <c r="B63" s="346"/>
      <c r="C63" s="346"/>
      <c r="D63" s="346"/>
      <c r="E63" s="329"/>
      <c r="F63" s="330"/>
      <c r="G63" s="330"/>
      <c r="H63" s="346"/>
      <c r="I63" s="650"/>
      <c r="J63" s="656"/>
    </row>
    <row r="64" spans="1:10" x14ac:dyDescent="0.25">
      <c r="A64" s="646"/>
      <c r="B64" s="346"/>
      <c r="C64" s="346"/>
      <c r="D64" s="346"/>
      <c r="E64" s="329"/>
      <c r="F64" s="330"/>
      <c r="G64" s="330"/>
      <c r="H64" s="346"/>
      <c r="I64" s="650"/>
      <c r="J64" s="656"/>
    </row>
    <row r="65" spans="1:10" x14ac:dyDescent="0.25">
      <c r="A65" s="646"/>
      <c r="B65" s="346"/>
      <c r="C65" s="346"/>
      <c r="D65" s="346"/>
      <c r="E65" s="329"/>
      <c r="F65" s="330"/>
      <c r="G65" s="330"/>
      <c r="H65" s="346"/>
      <c r="I65" s="650"/>
      <c r="J65" s="656"/>
    </row>
    <row r="66" spans="1:10" x14ac:dyDescent="0.25">
      <c r="A66" s="646"/>
      <c r="B66" s="346"/>
      <c r="C66" s="346"/>
      <c r="D66" s="346"/>
      <c r="E66" s="329"/>
      <c r="F66" s="330"/>
      <c r="G66" s="330"/>
      <c r="H66" s="346"/>
      <c r="I66" s="650"/>
      <c r="J66" s="656"/>
    </row>
    <row r="67" spans="1:10" x14ac:dyDescent="0.25">
      <c r="A67" s="646"/>
      <c r="B67" s="346"/>
      <c r="C67" s="346"/>
      <c r="D67" s="346"/>
      <c r="E67" s="329"/>
      <c r="F67" s="330"/>
      <c r="G67" s="330"/>
      <c r="H67" s="346"/>
      <c r="I67" s="650"/>
      <c r="J67" s="656"/>
    </row>
    <row r="68" spans="1:10" x14ac:dyDescent="0.25">
      <c r="A68" s="646"/>
      <c r="B68" s="346"/>
      <c r="C68" s="346"/>
      <c r="D68" s="346"/>
      <c r="E68" s="329"/>
      <c r="F68" s="330"/>
      <c r="G68" s="330"/>
      <c r="H68" s="346"/>
      <c r="I68" s="650"/>
      <c r="J68" s="656"/>
    </row>
    <row r="69" spans="1:10" x14ac:dyDescent="0.25">
      <c r="A69" s="646"/>
      <c r="B69" s="346"/>
      <c r="C69" s="346"/>
      <c r="D69" s="346"/>
      <c r="E69" s="329"/>
      <c r="F69" s="330"/>
      <c r="G69" s="330"/>
      <c r="H69" s="346"/>
      <c r="I69" s="650"/>
      <c r="J69" s="656"/>
    </row>
    <row r="70" spans="1:10" x14ac:dyDescent="0.25">
      <c r="A70" s="646"/>
      <c r="B70" s="346"/>
      <c r="C70" s="346"/>
      <c r="D70" s="346"/>
      <c r="E70" s="329"/>
      <c r="F70" s="330"/>
      <c r="G70" s="330"/>
      <c r="H70" s="346"/>
      <c r="I70" s="650"/>
      <c r="J70" s="656"/>
    </row>
    <row r="71" spans="1:10" x14ac:dyDescent="0.25">
      <c r="A71" s="646"/>
      <c r="B71" s="346"/>
      <c r="C71" s="346"/>
      <c r="D71" s="346"/>
      <c r="E71" s="329"/>
      <c r="F71" s="330"/>
      <c r="G71" s="330"/>
      <c r="H71" s="346"/>
      <c r="I71" s="650"/>
      <c r="J71" s="656"/>
    </row>
    <row r="72" spans="1:10" x14ac:dyDescent="0.25">
      <c r="A72" s="646"/>
      <c r="B72" s="346"/>
      <c r="C72" s="346"/>
      <c r="D72" s="330"/>
      <c r="E72" s="329"/>
      <c r="F72" s="330"/>
      <c r="G72" s="330"/>
      <c r="H72" s="346"/>
      <c r="I72" s="650"/>
      <c r="J72" s="656" t="str">
        <f>IF(B72&lt;&gt;0,1,"-")</f>
        <v>-</v>
      </c>
    </row>
  </sheetData>
  <protectedRanges>
    <protectedRange password="C8DD" sqref="A3 A6:A15" name="Plage1_4_5_1_1_3" securityDescriptor="O:WDG:WDD:(A;;CC;;;S-1-5-21-501367295-1437075540-709122288-2014)"/>
    <protectedRange password="C8DD" sqref="E40" name="Plage1_4_3_1" securityDescriptor="O:WDG:WDD:(A;;CC;;;S-1-5-21-501367295-1437075540-709122288-2014)"/>
    <protectedRange password="C8DD" sqref="A16:A42" name="Plage1_4_5_1_1" securityDescriptor="O:WDG:WDD:(A;;CC;;;S-1-5-21-501367295-1437075540-709122288-2014)"/>
    <protectedRange password="C8DD" sqref="B17" name="Plage1_4_3_1_1" securityDescriptor="O:WDG:WDD:(A;;CC;;;S-1-5-21-501367295-1437075540-709122288-2014)"/>
  </protectedRanges>
  <autoFilter ref="A2:J73"/>
  <phoneticPr fontId="11" type="noConversion"/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LISTE!$F$2:$F$3</xm:f>
          </x14:formula1>
          <xm:sqref>J73:J1048576</xm:sqref>
        </x14:dataValidation>
        <x14:dataValidation type="list" allowBlank="1" showInputMessage="1" showErrorMessage="1">
          <x14:formula1>
            <xm:f>LISTE!$B$2:$B$491</xm:f>
          </x14:formula1>
          <xm:sqref>D3:D5 D43 D46:D1048576 D12:D18 D40 D28:D29 D7:D10</xm:sqref>
        </x14:dataValidation>
        <x14:dataValidation type="list" allowBlank="1" showInputMessage="1" showErrorMessage="1">
          <x14:formula1>
            <xm:f>LISTE!$C$2:$C$31</xm:f>
          </x14:formula1>
          <xm:sqref>F3:F1048576</xm:sqref>
        </x14:dataValidation>
        <x14:dataValidation type="list" allowBlank="1" showInputMessage="1" showErrorMessage="1">
          <x14:formula1>
            <xm:f>LISTE!$A$2:$A$7</xm:f>
          </x14:formula1>
          <xm:sqref>C3:C1048576</xm:sqref>
        </x14:dataValidation>
        <x14:dataValidation type="list" allowBlank="1" showInputMessage="1" showErrorMessage="1">
          <x14:formula1>
            <xm:f>LISTE!$D$2:$D$12</xm:f>
          </x14:formula1>
          <xm:sqref>G3:G1048576</xm:sqref>
        </x14:dataValidation>
        <x14:dataValidation type="list" allowBlank="1" showInputMessage="1" showErrorMessage="1">
          <x14:formula1>
            <xm:f>LISTE!$F$2:$F$4</xm:f>
          </x14:formula1>
          <xm:sqref>J3:J72</xm:sqref>
        </x14:dataValidation>
        <x14:dataValidation type="list" allowBlank="1" showInputMessage="1" showErrorMessage="1">
          <x14:formula1>
            <xm:f>LISTE!$E$2:$E$17</xm:f>
          </x14:formula1>
          <xm:sqref>H3:H1048576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L27"/>
  <sheetViews>
    <sheetView zoomScale="130" zoomScaleNormal="130" workbookViewId="0">
      <selection sqref="A1:L27"/>
    </sheetView>
  </sheetViews>
  <sheetFormatPr baseColWidth="10" defaultColWidth="11.5703125" defaultRowHeight="11.25" x14ac:dyDescent="0.25"/>
  <cols>
    <col min="1" max="1" width="6.7109375" style="608" bestFit="1" customWidth="1"/>
    <col min="2" max="2" width="23.85546875" style="172" bestFit="1" customWidth="1"/>
    <col min="3" max="3" width="12.85546875" style="172" bestFit="1" customWidth="1"/>
    <col min="4" max="4" width="12.140625" style="172" bestFit="1" customWidth="1"/>
    <col min="5" max="5" width="15.140625" style="172" bestFit="1" customWidth="1"/>
    <col min="6" max="6" width="16.140625" style="172" bestFit="1" customWidth="1"/>
    <col min="7" max="7" width="8.28515625" style="172" bestFit="1" customWidth="1"/>
    <col min="8" max="8" width="9.85546875" style="172" bestFit="1" customWidth="1"/>
    <col min="9" max="9" width="12.28515625" style="627" bestFit="1" customWidth="1"/>
    <col min="10" max="10" width="20.7109375" style="627" hidden="1" customWidth="1"/>
    <col min="11" max="11" width="17.140625" style="611" bestFit="1" customWidth="1"/>
    <col min="12" max="12" width="12.42578125" style="612" bestFit="1" customWidth="1"/>
    <col min="13" max="16384" width="11.5703125" style="13"/>
  </cols>
  <sheetData>
    <row r="1" spans="1:12" x14ac:dyDescent="0.25">
      <c r="H1" s="609">
        <f>+SUBTOTAL(3,H3:H1048576)</f>
        <v>0</v>
      </c>
      <c r="I1" s="610">
        <f>+SUBTOTAL(9,I3:I1048576)</f>
        <v>0</v>
      </c>
      <c r="J1" s="610"/>
    </row>
    <row r="2" spans="1:12" s="172" customFormat="1" x14ac:dyDescent="0.25">
      <c r="A2" s="613" t="s">
        <v>18</v>
      </c>
      <c r="B2" s="614" t="s">
        <v>19</v>
      </c>
      <c r="C2" s="614" t="s">
        <v>20</v>
      </c>
      <c r="D2" s="614" t="s">
        <v>21</v>
      </c>
      <c r="E2" s="614" t="s">
        <v>22</v>
      </c>
      <c r="F2" s="614" t="s">
        <v>23</v>
      </c>
      <c r="G2" s="615" t="s">
        <v>24</v>
      </c>
      <c r="H2" s="615" t="s">
        <v>25</v>
      </c>
      <c r="I2" s="616" t="s">
        <v>26</v>
      </c>
      <c r="J2" s="616"/>
      <c r="K2" s="617" t="s">
        <v>34</v>
      </c>
      <c r="L2" s="618" t="s">
        <v>35</v>
      </c>
    </row>
    <row r="3" spans="1:12" x14ac:dyDescent="0.25">
      <c r="A3" s="668"/>
      <c r="B3" s="669"/>
      <c r="C3" s="669"/>
      <c r="D3" s="669"/>
      <c r="E3" s="669"/>
      <c r="F3" s="669"/>
      <c r="G3" s="669"/>
      <c r="H3" s="669"/>
      <c r="I3" s="670"/>
      <c r="J3" s="670"/>
      <c r="K3" s="671"/>
      <c r="L3" s="672"/>
    </row>
    <row r="4" spans="1:12" x14ac:dyDescent="0.25">
      <c r="A4" s="626"/>
      <c r="B4" s="620"/>
      <c r="C4" s="620"/>
      <c r="D4" s="620"/>
      <c r="E4" s="673"/>
      <c r="F4" s="674"/>
      <c r="G4" s="674"/>
      <c r="H4" s="620"/>
      <c r="I4" s="670"/>
      <c r="J4" s="670"/>
      <c r="K4" s="671"/>
      <c r="L4" s="672"/>
    </row>
    <row r="5" spans="1:12" x14ac:dyDescent="0.25">
      <c r="A5" s="626"/>
      <c r="B5" s="620"/>
      <c r="C5" s="620"/>
      <c r="D5" s="620"/>
      <c r="E5" s="675"/>
      <c r="F5" s="674"/>
      <c r="G5" s="674"/>
      <c r="H5" s="620"/>
      <c r="I5" s="670"/>
      <c r="J5" s="670"/>
      <c r="K5" s="671"/>
      <c r="L5" s="672"/>
    </row>
    <row r="6" spans="1:12" x14ac:dyDescent="0.25">
      <c r="A6" s="676"/>
      <c r="B6" s="620"/>
      <c r="C6" s="620"/>
      <c r="D6" s="620"/>
      <c r="E6" s="620"/>
      <c r="F6" s="674"/>
      <c r="G6" s="674"/>
      <c r="H6" s="620"/>
      <c r="I6" s="677"/>
      <c r="J6" s="677"/>
      <c r="K6" s="671"/>
      <c r="L6" s="678"/>
    </row>
    <row r="7" spans="1:12" x14ac:dyDescent="0.25">
      <c r="A7" s="676"/>
      <c r="B7" s="620"/>
      <c r="C7" s="620"/>
      <c r="D7" s="620"/>
      <c r="E7" s="620"/>
      <c r="F7" s="674"/>
      <c r="G7" s="674"/>
      <c r="H7" s="620"/>
      <c r="I7" s="670"/>
      <c r="J7" s="670"/>
      <c r="K7" s="671"/>
      <c r="L7" s="678"/>
    </row>
    <row r="8" spans="1:12" x14ac:dyDescent="0.25">
      <c r="A8" s="676"/>
      <c r="B8" s="620"/>
      <c r="C8" s="620"/>
      <c r="D8" s="620"/>
      <c r="E8" s="620"/>
      <c r="F8" s="674"/>
      <c r="G8" s="674"/>
      <c r="H8" s="620"/>
      <c r="I8" s="670"/>
      <c r="J8" s="670"/>
      <c r="K8" s="671"/>
      <c r="L8" s="672"/>
    </row>
    <row r="9" spans="1:12" x14ac:dyDescent="0.25">
      <c r="A9" s="676"/>
      <c r="B9" s="620"/>
      <c r="C9" s="620"/>
      <c r="D9" s="620"/>
      <c r="E9" s="620"/>
      <c r="F9" s="674"/>
      <c r="G9" s="674"/>
      <c r="H9" s="620"/>
      <c r="I9" s="670"/>
      <c r="J9" s="670"/>
      <c r="K9" s="671"/>
      <c r="L9" s="672"/>
    </row>
    <row r="10" spans="1:12" x14ac:dyDescent="0.25">
      <c r="A10" s="676"/>
      <c r="B10" s="620"/>
      <c r="C10" s="676"/>
      <c r="D10" s="620"/>
      <c r="E10" s="620"/>
      <c r="F10" s="674"/>
      <c r="G10" s="674"/>
      <c r="H10" s="620"/>
      <c r="I10" s="670"/>
      <c r="J10" s="670"/>
      <c r="K10" s="671"/>
      <c r="L10" s="672"/>
    </row>
    <row r="11" spans="1:12" x14ac:dyDescent="0.25">
      <c r="A11" s="676"/>
      <c r="B11" s="620"/>
      <c r="C11" s="620"/>
      <c r="D11" s="620"/>
      <c r="E11" s="620"/>
      <c r="F11" s="674"/>
      <c r="G11" s="674"/>
      <c r="H11" s="620"/>
      <c r="I11" s="670"/>
      <c r="J11" s="670"/>
      <c r="K11" s="671"/>
      <c r="L11" s="672"/>
    </row>
    <row r="12" spans="1:12" x14ac:dyDescent="0.25">
      <c r="A12" s="676"/>
      <c r="B12" s="620"/>
      <c r="C12" s="620"/>
      <c r="D12" s="620"/>
      <c r="E12" s="620"/>
      <c r="F12" s="674"/>
      <c r="G12" s="674"/>
      <c r="H12" s="620"/>
      <c r="I12" s="670"/>
      <c r="J12" s="670"/>
      <c r="K12" s="671"/>
      <c r="L12" s="672"/>
    </row>
    <row r="13" spans="1:12" x14ac:dyDescent="0.25">
      <c r="A13" s="676"/>
      <c r="B13" s="620"/>
      <c r="C13" s="620"/>
      <c r="D13" s="620"/>
      <c r="E13" s="620"/>
      <c r="F13" s="674"/>
      <c r="G13" s="674"/>
      <c r="H13" s="620"/>
      <c r="I13" s="670"/>
      <c r="J13" s="670"/>
      <c r="K13" s="671"/>
      <c r="L13" s="672"/>
    </row>
    <row r="14" spans="1:12" x14ac:dyDescent="0.25">
      <c r="A14" s="676"/>
      <c r="B14" s="620"/>
      <c r="C14" s="620"/>
      <c r="D14" s="620"/>
      <c r="E14" s="620"/>
      <c r="F14" s="674"/>
      <c r="G14" s="674"/>
      <c r="H14" s="620"/>
      <c r="I14" s="670"/>
      <c r="J14" s="670"/>
      <c r="K14" s="671"/>
      <c r="L14" s="672"/>
    </row>
    <row r="15" spans="1:12" x14ac:dyDescent="0.25">
      <c r="A15" s="676"/>
      <c r="B15" s="620"/>
      <c r="C15" s="620"/>
      <c r="D15" s="620"/>
      <c r="E15" s="620"/>
      <c r="F15" s="674"/>
      <c r="G15" s="674"/>
      <c r="H15" s="620"/>
      <c r="I15" s="670"/>
      <c r="J15" s="670"/>
      <c r="K15" s="671"/>
      <c r="L15" s="672"/>
    </row>
    <row r="16" spans="1:12" x14ac:dyDescent="0.25">
      <c r="A16" s="676"/>
      <c r="B16" s="620"/>
      <c r="C16" s="620"/>
      <c r="D16" s="620"/>
      <c r="E16" s="620"/>
      <c r="F16" s="674"/>
      <c r="G16" s="674"/>
      <c r="H16" s="620"/>
      <c r="I16" s="670"/>
      <c r="J16" s="670"/>
      <c r="K16" s="671"/>
      <c r="L16" s="672"/>
    </row>
    <row r="17" spans="1:12" x14ac:dyDescent="0.25">
      <c r="A17" s="676"/>
      <c r="B17" s="620"/>
      <c r="C17" s="620"/>
      <c r="D17" s="620"/>
      <c r="E17" s="620"/>
      <c r="F17" s="674"/>
      <c r="G17" s="674"/>
      <c r="H17" s="620"/>
      <c r="I17" s="670"/>
      <c r="J17" s="670"/>
      <c r="K17" s="671"/>
      <c r="L17" s="672"/>
    </row>
    <row r="18" spans="1:12" x14ac:dyDescent="0.25">
      <c r="A18" s="676"/>
      <c r="B18" s="620"/>
      <c r="C18" s="620"/>
      <c r="D18" s="620"/>
      <c r="E18" s="620"/>
      <c r="F18" s="674"/>
      <c r="G18" s="674"/>
      <c r="H18" s="620"/>
      <c r="I18" s="670"/>
      <c r="J18" s="670"/>
      <c r="K18" s="671"/>
      <c r="L18" s="672"/>
    </row>
    <row r="19" spans="1:12" x14ac:dyDescent="0.25">
      <c r="A19" s="676"/>
      <c r="B19" s="620"/>
      <c r="C19" s="620"/>
      <c r="D19" s="620"/>
      <c r="E19" s="620"/>
      <c r="F19" s="674"/>
      <c r="G19" s="674"/>
      <c r="H19" s="620"/>
      <c r="I19" s="670"/>
      <c r="J19" s="670"/>
      <c r="K19" s="671"/>
      <c r="L19" s="672"/>
    </row>
    <row r="20" spans="1:12" x14ac:dyDescent="0.25">
      <c r="A20" s="676"/>
      <c r="B20" s="620"/>
      <c r="C20" s="620"/>
      <c r="D20" s="620"/>
      <c r="E20" s="620"/>
      <c r="F20" s="674"/>
      <c r="G20" s="674"/>
      <c r="H20" s="620"/>
      <c r="I20" s="670"/>
      <c r="J20" s="670"/>
      <c r="K20" s="671"/>
      <c r="L20" s="672"/>
    </row>
    <row r="21" spans="1:12" x14ac:dyDescent="0.25">
      <c r="A21" s="676"/>
      <c r="B21" s="620"/>
      <c r="C21" s="620"/>
      <c r="D21" s="620"/>
      <c r="E21" s="621"/>
      <c r="F21" s="622"/>
      <c r="G21" s="674"/>
      <c r="H21" s="620"/>
      <c r="I21" s="670"/>
      <c r="J21" s="670"/>
      <c r="K21" s="671"/>
      <c r="L21" s="672"/>
    </row>
    <row r="22" spans="1:12" x14ac:dyDescent="0.25">
      <c r="A22" s="676"/>
      <c r="B22" s="620"/>
      <c r="C22" s="620"/>
      <c r="D22" s="620"/>
      <c r="E22" s="621"/>
      <c r="F22" s="622"/>
      <c r="G22" s="674"/>
      <c r="H22" s="620"/>
      <c r="I22" s="670"/>
      <c r="J22" s="670"/>
      <c r="K22" s="671"/>
      <c r="L22" s="672"/>
    </row>
    <row r="23" spans="1:12" x14ac:dyDescent="0.25">
      <c r="A23" s="676"/>
      <c r="B23" s="620"/>
      <c r="C23" s="620"/>
      <c r="D23" s="620"/>
      <c r="E23" s="621"/>
      <c r="F23" s="622"/>
      <c r="G23" s="674"/>
      <c r="H23" s="620"/>
      <c r="I23" s="670"/>
      <c r="J23" s="670"/>
      <c r="K23" s="671"/>
      <c r="L23" s="672"/>
    </row>
    <row r="24" spans="1:12" x14ac:dyDescent="0.25">
      <c r="A24" s="676"/>
      <c r="B24" s="620"/>
      <c r="C24" s="620"/>
      <c r="D24" s="620"/>
      <c r="E24" s="621"/>
      <c r="F24" s="622"/>
      <c r="G24" s="622"/>
      <c r="H24" s="620"/>
      <c r="I24" s="670"/>
      <c r="J24" s="670"/>
      <c r="K24" s="671"/>
      <c r="L24" s="672"/>
    </row>
    <row r="25" spans="1:12" x14ac:dyDescent="0.25">
      <c r="A25" s="676"/>
      <c r="B25" s="620"/>
      <c r="C25" s="620"/>
      <c r="D25" s="620"/>
      <c r="E25" s="621"/>
      <c r="F25" s="622"/>
      <c r="G25" s="674"/>
      <c r="H25" s="679"/>
      <c r="I25" s="670"/>
      <c r="J25" s="670"/>
      <c r="K25" s="671"/>
      <c r="L25" s="672"/>
    </row>
    <row r="26" spans="1:12" x14ac:dyDescent="0.25">
      <c r="A26" s="619"/>
      <c r="B26" s="620"/>
      <c r="C26" s="620"/>
      <c r="D26" s="407"/>
      <c r="E26" s="621"/>
      <c r="F26" s="622"/>
      <c r="G26" s="622"/>
      <c r="H26" s="407"/>
      <c r="I26" s="623"/>
      <c r="J26" s="623"/>
      <c r="K26" s="624"/>
      <c r="L26" s="625"/>
    </row>
    <row r="27" spans="1:12" x14ac:dyDescent="0.25">
      <c r="A27" s="619"/>
      <c r="B27" s="620"/>
      <c r="C27" s="620"/>
      <c r="D27" s="407"/>
      <c r="E27" s="621"/>
      <c r="F27" s="622"/>
      <c r="G27" s="622"/>
      <c r="H27" s="407"/>
      <c r="I27" s="623"/>
      <c r="J27" s="623"/>
      <c r="K27" s="624"/>
      <c r="L27" s="625"/>
    </row>
  </sheetData>
  <autoFilter ref="A2:L25">
    <sortState ref="A3:L25">
      <sortCondition ref="A2:A25"/>
    </sortState>
  </autoFilter>
  <phoneticPr fontId="11" type="noConversion"/>
  <pageMargins left="0.7" right="0.7" top="0.75" bottom="0.75" header="0.3" footer="0.3"/>
  <pageSetup paperSize="9" scale="58"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LISTE!$B$2:$B$468</xm:f>
          </x14:formula1>
          <xm:sqref>D3:D4 D7 D19:D1048576</xm:sqref>
        </x14:dataValidation>
        <x14:dataValidation type="list" allowBlank="1" showInputMessage="1" showErrorMessage="1">
          <x14:formula1>
            <xm:f>LISTE!$A$2:$A$11</xm:f>
          </x14:formula1>
          <xm:sqref>C3:C1048576</xm:sqref>
        </x14:dataValidation>
        <x14:dataValidation type="list" allowBlank="1" showInputMessage="1" showErrorMessage="1">
          <x14:formula1>
            <xm:f>LISTE!$E$2:$E$8</xm:f>
          </x14:formula1>
          <xm:sqref>H26:H1048576 H3:H24</xm:sqref>
        </x14:dataValidation>
        <x14:dataValidation type="list" allowBlank="1" showInputMessage="1" showErrorMessage="1">
          <x14:formula1>
            <xm:f>LISTE!$D$2:$D$8</xm:f>
          </x14:formula1>
          <xm:sqref>G3:G1048576</xm:sqref>
        </x14:dataValidation>
        <x14:dataValidation type="list" allowBlank="1" showInputMessage="1" showErrorMessage="1">
          <x14:formula1>
            <xm:f>LISTE!$C$2:$C$31</xm:f>
          </x14:formula1>
          <xm:sqref>F3:F1048576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I55"/>
  <sheetViews>
    <sheetView zoomScale="115" zoomScaleNormal="115" workbookViewId="0">
      <selection sqref="A1:XFD1048576"/>
    </sheetView>
  </sheetViews>
  <sheetFormatPr baseColWidth="10" defaultColWidth="11.5703125" defaultRowHeight="12.75" x14ac:dyDescent="0.25"/>
  <cols>
    <col min="1" max="1" width="8.5703125" style="334" bestFit="1" customWidth="1"/>
    <col min="2" max="2" width="15.140625" style="348" bestFit="1" customWidth="1"/>
    <col min="3" max="3" width="16.42578125" style="332" bestFit="1" customWidth="1"/>
    <col min="4" max="4" width="15.28515625" style="332" bestFit="1" customWidth="1"/>
    <col min="5" max="5" width="19.7109375" style="332" bestFit="1" customWidth="1"/>
    <col min="6" max="6" width="17.5703125" style="345" bestFit="1" customWidth="1"/>
    <col min="7" max="7" width="8.5703125" style="347" bestFit="1" customWidth="1"/>
    <col min="8" max="9" width="14.5703125" style="331" bestFit="1" customWidth="1"/>
    <col min="10" max="16384" width="11.5703125" style="331"/>
  </cols>
  <sheetData>
    <row r="1" spans="1:8" x14ac:dyDescent="0.25">
      <c r="B1" s="341">
        <f>+SUBTOTAL(3,B3:B1048576)</f>
        <v>0</v>
      </c>
      <c r="F1" s="342">
        <f>+SUBTOTAL(9,F3:F1048576)</f>
        <v>0</v>
      </c>
      <c r="G1" s="351"/>
    </row>
    <row r="2" spans="1:8" s="332" customFormat="1" x14ac:dyDescent="0.25">
      <c r="A2" s="320" t="s">
        <v>18</v>
      </c>
      <c r="B2" s="349" t="s">
        <v>35</v>
      </c>
      <c r="C2" s="321" t="s">
        <v>20</v>
      </c>
      <c r="D2" s="321" t="s">
        <v>21</v>
      </c>
      <c r="E2" s="321" t="s">
        <v>23</v>
      </c>
      <c r="F2" s="322" t="s">
        <v>51</v>
      </c>
      <c r="G2" s="350" t="s">
        <v>52</v>
      </c>
    </row>
    <row r="3" spans="1:8" x14ac:dyDescent="0.25">
      <c r="A3" s="646"/>
      <c r="B3" s="329"/>
      <c r="C3" s="346"/>
      <c r="D3" s="346"/>
      <c r="E3" s="647"/>
      <c r="F3" s="648"/>
      <c r="G3" s="649"/>
    </row>
    <row r="4" spans="1:8" x14ac:dyDescent="0.25">
      <c r="A4" s="323"/>
      <c r="B4" s="329"/>
      <c r="C4" s="346"/>
      <c r="D4" s="346"/>
      <c r="E4" s="647"/>
      <c r="F4" s="650"/>
      <c r="G4" s="649"/>
      <c r="H4" s="335"/>
    </row>
    <row r="5" spans="1:8" x14ac:dyDescent="0.25">
      <c r="A5" s="323"/>
      <c r="B5" s="329"/>
      <c r="C5" s="346"/>
      <c r="D5" s="346"/>
      <c r="E5" s="647"/>
      <c r="F5" s="650"/>
      <c r="G5" s="649"/>
    </row>
    <row r="6" spans="1:8" x14ac:dyDescent="0.25">
      <c r="A6" s="646"/>
      <c r="B6" s="329"/>
      <c r="C6" s="346"/>
      <c r="D6" s="346"/>
      <c r="E6" s="647"/>
      <c r="F6" s="648"/>
      <c r="G6" s="649"/>
      <c r="H6" s="336"/>
    </row>
    <row r="7" spans="1:8" x14ac:dyDescent="0.25">
      <c r="A7" s="323"/>
      <c r="B7" s="571"/>
      <c r="C7" s="346"/>
      <c r="D7" s="346"/>
      <c r="E7" s="647"/>
      <c r="F7" s="650"/>
      <c r="G7" s="651"/>
    </row>
    <row r="8" spans="1:8" x14ac:dyDescent="0.25">
      <c r="A8" s="323"/>
      <c r="B8" s="571"/>
      <c r="C8" s="346"/>
      <c r="D8" s="346"/>
      <c r="E8" s="647"/>
      <c r="F8" s="650"/>
      <c r="G8" s="651"/>
    </row>
    <row r="9" spans="1:8" x14ac:dyDescent="0.25">
      <c r="A9" s="646"/>
      <c r="B9" s="652"/>
      <c r="C9" s="346"/>
      <c r="D9" s="653"/>
      <c r="E9" s="647"/>
      <c r="F9" s="650"/>
      <c r="G9" s="649"/>
      <c r="H9" s="335"/>
    </row>
    <row r="10" spans="1:8" x14ac:dyDescent="0.25">
      <c r="A10" s="327"/>
      <c r="B10" s="329"/>
      <c r="C10" s="346"/>
      <c r="D10" s="346"/>
      <c r="E10" s="647"/>
      <c r="F10" s="325"/>
      <c r="G10" s="649"/>
    </row>
    <row r="11" spans="1:8" x14ac:dyDescent="0.25">
      <c r="A11" s="327"/>
      <c r="B11" s="329"/>
      <c r="C11" s="346"/>
      <c r="D11" s="346"/>
      <c r="E11" s="647"/>
      <c r="F11" s="325"/>
      <c r="G11" s="649"/>
    </row>
    <row r="12" spans="1:8" x14ac:dyDescent="0.25">
      <c r="A12" s="327"/>
      <c r="B12" s="329"/>
      <c r="C12" s="346"/>
      <c r="D12" s="346"/>
      <c r="E12" s="647"/>
      <c r="F12" s="325"/>
      <c r="G12" s="649"/>
    </row>
    <row r="13" spans="1:8" x14ac:dyDescent="0.25">
      <c r="A13" s="327"/>
      <c r="B13" s="329"/>
      <c r="C13" s="346"/>
      <c r="D13" s="346"/>
      <c r="E13" s="647"/>
      <c r="F13" s="325"/>
      <c r="G13" s="649"/>
    </row>
    <row r="14" spans="1:8" x14ac:dyDescent="0.25">
      <c r="A14" s="327"/>
      <c r="B14" s="329"/>
      <c r="C14" s="346"/>
      <c r="D14" s="346"/>
      <c r="E14" s="647"/>
      <c r="F14" s="325"/>
      <c r="G14" s="649"/>
      <c r="H14" s="335"/>
    </row>
    <row r="15" spans="1:8" x14ac:dyDescent="0.25">
      <c r="A15" s="646"/>
      <c r="B15" s="329"/>
      <c r="C15" s="346"/>
      <c r="D15" s="346"/>
      <c r="E15" s="647"/>
      <c r="F15" s="654"/>
      <c r="G15" s="649"/>
      <c r="H15" s="335"/>
    </row>
    <row r="16" spans="1:8" x14ac:dyDescent="0.25">
      <c r="A16" s="646"/>
      <c r="B16" s="329"/>
      <c r="C16" s="346"/>
      <c r="D16" s="346"/>
      <c r="E16" s="647"/>
      <c r="F16" s="654"/>
      <c r="G16" s="649"/>
      <c r="H16" s="232"/>
    </row>
    <row r="17" spans="1:9" x14ac:dyDescent="0.25">
      <c r="A17" s="646"/>
      <c r="B17" s="329"/>
      <c r="C17" s="346"/>
      <c r="D17" s="346"/>
      <c r="E17" s="647"/>
      <c r="F17" s="654"/>
      <c r="G17" s="649"/>
      <c r="H17" s="232"/>
    </row>
    <row r="18" spans="1:9" x14ac:dyDescent="0.25">
      <c r="A18" s="646"/>
      <c r="B18" s="329"/>
      <c r="C18" s="346"/>
      <c r="D18" s="346"/>
      <c r="E18" s="647"/>
      <c r="F18" s="648"/>
      <c r="G18" s="649"/>
      <c r="H18" s="232"/>
    </row>
    <row r="19" spans="1:9" x14ac:dyDescent="0.25">
      <c r="A19" s="646"/>
      <c r="B19" s="329"/>
      <c r="C19" s="346"/>
      <c r="D19" s="346"/>
      <c r="E19" s="647"/>
      <c r="F19" s="650"/>
      <c r="G19" s="649"/>
      <c r="H19" s="335"/>
      <c r="I19" s="335"/>
    </row>
    <row r="20" spans="1:9" x14ac:dyDescent="0.25">
      <c r="A20" s="646"/>
      <c r="B20" s="329"/>
      <c r="C20" s="346"/>
      <c r="D20" s="346"/>
      <c r="E20" s="647"/>
      <c r="F20" s="650"/>
      <c r="G20" s="649"/>
    </row>
    <row r="21" spans="1:9" x14ac:dyDescent="0.25">
      <c r="A21" s="646"/>
      <c r="B21" s="329"/>
      <c r="C21" s="346"/>
      <c r="D21" s="346"/>
      <c r="E21" s="647"/>
      <c r="F21" s="650"/>
      <c r="G21" s="649"/>
      <c r="I21" s="337"/>
    </row>
    <row r="22" spans="1:9" x14ac:dyDescent="0.25">
      <c r="A22" s="646"/>
      <c r="B22" s="329"/>
      <c r="C22" s="346"/>
      <c r="D22" s="346"/>
      <c r="E22" s="647"/>
      <c r="F22" s="650"/>
      <c r="G22" s="649"/>
    </row>
    <row r="23" spans="1:9" x14ac:dyDescent="0.25">
      <c r="A23" s="323"/>
      <c r="B23" s="329"/>
      <c r="C23" s="346"/>
      <c r="D23" s="346"/>
      <c r="E23" s="647"/>
      <c r="F23" s="325"/>
      <c r="G23" s="649"/>
    </row>
    <row r="24" spans="1:9" x14ac:dyDescent="0.25">
      <c r="A24" s="323"/>
      <c r="B24" s="329"/>
      <c r="C24" s="346"/>
      <c r="D24" s="346"/>
      <c r="E24" s="647"/>
      <c r="F24" s="325"/>
      <c r="G24" s="649"/>
    </row>
    <row r="25" spans="1:9" x14ac:dyDescent="0.25">
      <c r="A25" s="323"/>
      <c r="B25" s="570"/>
      <c r="C25" s="346"/>
      <c r="D25" s="346"/>
      <c r="E25" s="647"/>
      <c r="F25" s="654"/>
      <c r="G25" s="649"/>
    </row>
    <row r="26" spans="1:9" x14ac:dyDescent="0.25">
      <c r="A26" s="323"/>
      <c r="B26" s="570"/>
      <c r="C26" s="346"/>
      <c r="D26" s="346"/>
      <c r="E26" s="647"/>
      <c r="F26" s="654"/>
      <c r="G26" s="649"/>
    </row>
    <row r="27" spans="1:9" x14ac:dyDescent="0.25">
      <c r="A27" s="323"/>
      <c r="B27" s="329"/>
      <c r="C27" s="346"/>
      <c r="D27" s="346"/>
      <c r="E27" s="647"/>
      <c r="F27" s="654"/>
      <c r="G27" s="649"/>
    </row>
    <row r="28" spans="1:9" x14ac:dyDescent="0.25">
      <c r="A28" s="323"/>
      <c r="B28" s="329"/>
      <c r="C28" s="346"/>
      <c r="D28" s="346"/>
      <c r="E28" s="647"/>
      <c r="F28" s="654"/>
      <c r="G28" s="649"/>
    </row>
    <row r="29" spans="1:9" x14ac:dyDescent="0.25">
      <c r="A29" s="323"/>
      <c r="B29" s="329"/>
      <c r="C29" s="346"/>
      <c r="D29" s="346"/>
      <c r="E29" s="647"/>
      <c r="F29" s="654"/>
      <c r="G29" s="649"/>
    </row>
    <row r="30" spans="1:9" x14ac:dyDescent="0.25">
      <c r="A30" s="323"/>
      <c r="B30" s="329"/>
      <c r="C30" s="346"/>
      <c r="D30" s="346"/>
      <c r="E30" s="647"/>
      <c r="F30" s="654"/>
      <c r="G30" s="649"/>
    </row>
    <row r="31" spans="1:9" x14ac:dyDescent="0.25">
      <c r="A31" s="323"/>
      <c r="B31" s="329"/>
      <c r="C31" s="346"/>
      <c r="D31" s="346"/>
      <c r="E31" s="647"/>
      <c r="F31" s="654"/>
      <c r="G31" s="649"/>
    </row>
    <row r="32" spans="1:9" x14ac:dyDescent="0.25">
      <c r="A32" s="328"/>
      <c r="B32" s="329"/>
      <c r="C32" s="324"/>
      <c r="D32" s="324"/>
      <c r="E32" s="333"/>
      <c r="F32" s="344"/>
      <c r="G32" s="352"/>
    </row>
    <row r="33" spans="1:7" x14ac:dyDescent="0.25">
      <c r="A33" s="328"/>
      <c r="B33" s="329"/>
      <c r="C33" s="328"/>
      <c r="D33" s="328"/>
      <c r="E33" s="333"/>
      <c r="F33" s="344"/>
      <c r="G33" s="352"/>
    </row>
    <row r="34" spans="1:7" x14ac:dyDescent="0.25">
      <c r="A34" s="328"/>
      <c r="B34" s="329"/>
      <c r="C34" s="346"/>
      <c r="D34" s="324"/>
      <c r="E34" s="333"/>
      <c r="F34" s="344"/>
      <c r="G34" s="352"/>
    </row>
    <row r="35" spans="1:7" x14ac:dyDescent="0.25">
      <c r="A35" s="328"/>
      <c r="B35" s="329"/>
      <c r="C35" s="346"/>
      <c r="D35" s="324"/>
      <c r="E35" s="333"/>
      <c r="F35" s="344"/>
      <c r="G35" s="352"/>
    </row>
    <row r="36" spans="1:7" x14ac:dyDescent="0.25">
      <c r="A36" s="328"/>
      <c r="B36" s="329"/>
      <c r="C36" s="346"/>
      <c r="D36" s="324"/>
      <c r="E36" s="333"/>
      <c r="F36" s="344"/>
      <c r="G36" s="352"/>
    </row>
    <row r="37" spans="1:7" x14ac:dyDescent="0.25">
      <c r="A37" s="328"/>
      <c r="B37" s="329"/>
      <c r="C37" s="346"/>
      <c r="D37" s="324"/>
      <c r="E37" s="333"/>
      <c r="F37" s="344"/>
      <c r="G37" s="352"/>
    </row>
    <row r="38" spans="1:7" x14ac:dyDescent="0.25">
      <c r="A38" s="328"/>
      <c r="B38" s="329"/>
      <c r="C38" s="346"/>
      <c r="D38" s="324"/>
      <c r="E38" s="333"/>
      <c r="F38" s="344"/>
      <c r="G38" s="352"/>
    </row>
    <row r="39" spans="1:7" x14ac:dyDescent="0.25">
      <c r="A39" s="328"/>
      <c r="B39" s="329"/>
      <c r="C39" s="346"/>
      <c r="D39" s="324"/>
      <c r="E39" s="333"/>
      <c r="F39" s="344"/>
      <c r="G39" s="352"/>
    </row>
    <row r="40" spans="1:7" x14ac:dyDescent="0.25">
      <c r="A40" s="328"/>
      <c r="B40" s="329"/>
      <c r="C40" s="346"/>
      <c r="D40" s="324"/>
      <c r="E40" s="333"/>
      <c r="F40" s="344"/>
      <c r="G40" s="352"/>
    </row>
    <row r="41" spans="1:7" x14ac:dyDescent="0.25">
      <c r="A41" s="328"/>
      <c r="B41" s="329"/>
      <c r="C41" s="346"/>
      <c r="D41" s="324"/>
      <c r="E41" s="333"/>
      <c r="F41" s="344"/>
      <c r="G41" s="352"/>
    </row>
    <row r="42" spans="1:7" x14ac:dyDescent="0.25">
      <c r="A42" s="328"/>
      <c r="B42" s="329"/>
      <c r="C42" s="346"/>
      <c r="D42" s="324"/>
      <c r="E42" s="333"/>
      <c r="F42" s="344"/>
      <c r="G42" s="352"/>
    </row>
    <row r="43" spans="1:7" x14ac:dyDescent="0.25">
      <c r="A43" s="328"/>
      <c r="B43" s="329"/>
      <c r="C43" s="346"/>
      <c r="D43" s="324"/>
      <c r="E43" s="333"/>
      <c r="F43" s="344"/>
      <c r="G43" s="352"/>
    </row>
    <row r="44" spans="1:7" x14ac:dyDescent="0.25">
      <c r="A44" s="328"/>
      <c r="B44" s="329"/>
      <c r="C44" s="346"/>
      <c r="D44" s="324"/>
      <c r="E44" s="333"/>
      <c r="F44" s="344"/>
      <c r="G44" s="352"/>
    </row>
    <row r="45" spans="1:7" x14ac:dyDescent="0.25">
      <c r="A45" s="328"/>
      <c r="B45" s="329"/>
      <c r="C45" s="346"/>
      <c r="D45" s="324"/>
      <c r="E45" s="333"/>
      <c r="F45" s="344"/>
      <c r="G45" s="352"/>
    </row>
    <row r="46" spans="1:7" x14ac:dyDescent="0.25">
      <c r="A46" s="328"/>
      <c r="B46" s="329"/>
      <c r="C46" s="346"/>
      <c r="D46" s="324"/>
      <c r="E46" s="330"/>
      <c r="F46" s="344"/>
      <c r="G46" s="352"/>
    </row>
    <row r="47" spans="1:7" x14ac:dyDescent="0.25">
      <c r="A47" s="328"/>
      <c r="B47" s="329"/>
      <c r="C47" s="346"/>
      <c r="D47" s="324"/>
      <c r="E47" s="330"/>
      <c r="F47" s="344"/>
      <c r="G47" s="352"/>
    </row>
    <row r="48" spans="1:7" x14ac:dyDescent="0.25">
      <c r="A48" s="328"/>
      <c r="B48" s="329"/>
      <c r="C48" s="346"/>
      <c r="D48" s="324"/>
      <c r="E48" s="330"/>
      <c r="F48" s="344"/>
      <c r="G48" s="352"/>
    </row>
    <row r="49" spans="1:7" x14ac:dyDescent="0.25">
      <c r="A49" s="328"/>
      <c r="B49" s="329"/>
      <c r="C49" s="346"/>
      <c r="D49" s="324"/>
      <c r="E49" s="330"/>
      <c r="F49" s="344"/>
      <c r="G49" s="352"/>
    </row>
    <row r="50" spans="1:7" x14ac:dyDescent="0.25">
      <c r="A50" s="328"/>
      <c r="B50" s="329"/>
      <c r="C50" s="346"/>
      <c r="D50" s="324"/>
      <c r="E50" s="330"/>
      <c r="F50" s="344"/>
      <c r="G50" s="352"/>
    </row>
    <row r="51" spans="1:7" x14ac:dyDescent="0.25">
      <c r="A51" s="328"/>
      <c r="B51" s="329"/>
      <c r="C51" s="346"/>
      <c r="D51" s="324"/>
      <c r="E51" s="330"/>
      <c r="F51" s="344"/>
      <c r="G51" s="352"/>
    </row>
    <row r="52" spans="1:7" x14ac:dyDescent="0.25">
      <c r="A52" s="328"/>
      <c r="B52" s="329"/>
      <c r="C52" s="346"/>
      <c r="D52" s="324"/>
      <c r="E52" s="330"/>
      <c r="F52" s="344"/>
      <c r="G52" s="352"/>
    </row>
    <row r="53" spans="1:7" x14ac:dyDescent="0.25">
      <c r="A53" s="328"/>
      <c r="B53" s="329"/>
      <c r="C53" s="346"/>
      <c r="D53" s="324"/>
      <c r="E53" s="330"/>
      <c r="F53" s="344"/>
      <c r="G53" s="352"/>
    </row>
    <row r="54" spans="1:7" x14ac:dyDescent="0.25">
      <c r="A54" s="328"/>
      <c r="B54" s="329"/>
      <c r="C54" s="346"/>
      <c r="D54" s="324"/>
      <c r="E54" s="330"/>
      <c r="F54" s="344"/>
      <c r="G54" s="352"/>
    </row>
    <row r="55" spans="1:7" x14ac:dyDescent="0.25">
      <c r="A55" s="328"/>
      <c r="B55" s="329"/>
      <c r="C55" s="324"/>
      <c r="D55" s="330"/>
      <c r="E55" s="330"/>
      <c r="F55" s="344"/>
      <c r="G55" s="352"/>
    </row>
  </sheetData>
  <autoFilter ref="A2:G2">
    <sortState ref="A3:G22">
      <sortCondition ref="A2"/>
    </sortState>
  </autoFilter>
  <phoneticPr fontId="11" type="noConversion"/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LISTE!$B$2:$B$468</xm:f>
          </x14:formula1>
          <xm:sqref>D3:D4 D25:D1048576</xm:sqref>
        </x14:dataValidation>
        <x14:dataValidation type="list" allowBlank="1" showInputMessage="1" showErrorMessage="1">
          <x14:formula1>
            <xm:f>LISTE!$C$2:$C$31</xm:f>
          </x14:formula1>
          <xm:sqref>E3:E1048576</xm:sqref>
        </x14:dataValidation>
        <x14:dataValidation type="list" allowBlank="1" showInputMessage="1" showErrorMessage="1">
          <x14:formula1>
            <xm:f>LISTE!$A$2:$A$11</xm:f>
          </x14:formula1>
          <xm:sqref>C3:C1048576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H55"/>
  <sheetViews>
    <sheetView zoomScale="145" zoomScaleNormal="145" workbookViewId="0">
      <selection activeCell="D21" sqref="D21"/>
    </sheetView>
  </sheetViews>
  <sheetFormatPr baseColWidth="10" defaultColWidth="11.5703125" defaultRowHeight="12.75" x14ac:dyDescent="0.25"/>
  <cols>
    <col min="1" max="1" width="16.28515625" style="334" customWidth="1"/>
    <col min="2" max="2" width="16.42578125" style="332" bestFit="1" customWidth="1"/>
    <col min="3" max="3" width="15.28515625" style="332" bestFit="1" customWidth="1"/>
    <col min="4" max="4" width="19.7109375" style="332" bestFit="1" customWidth="1"/>
    <col min="5" max="5" width="17.5703125" style="345" bestFit="1" customWidth="1"/>
    <col min="6" max="6" width="8.5703125" style="347" bestFit="1" customWidth="1"/>
    <col min="7" max="7" width="16.28515625" style="334" bestFit="1" customWidth="1"/>
    <col min="8" max="8" width="14.5703125" style="331" bestFit="1" customWidth="1"/>
    <col min="9" max="16384" width="11.5703125" style="331"/>
  </cols>
  <sheetData>
    <row r="1" spans="1:8" x14ac:dyDescent="0.25">
      <c r="A1" s="608"/>
      <c r="B1" s="686">
        <f>+SUBTOTAL(3,B3:B1048576)</f>
        <v>0</v>
      </c>
      <c r="C1" s="172"/>
      <c r="D1" s="172"/>
      <c r="E1" s="172"/>
      <c r="F1" s="172"/>
      <c r="G1" s="608"/>
      <c r="H1" s="610">
        <f>+SUBTOTAL(9,H3:H1048576)</f>
        <v>0</v>
      </c>
    </row>
    <row r="2" spans="1:8" s="680" customFormat="1" x14ac:dyDescent="0.25">
      <c r="A2" s="681" t="s">
        <v>1117</v>
      </c>
      <c r="B2" s="682" t="s">
        <v>20</v>
      </c>
      <c r="C2" s="682" t="s">
        <v>21</v>
      </c>
      <c r="D2" s="682" t="s">
        <v>22</v>
      </c>
      <c r="E2" s="682" t="s">
        <v>23</v>
      </c>
      <c r="F2" s="683" t="s">
        <v>24</v>
      </c>
      <c r="G2" s="681" t="s">
        <v>1172</v>
      </c>
      <c r="H2" s="684" t="s">
        <v>1173</v>
      </c>
    </row>
    <row r="3" spans="1:8" x14ac:dyDescent="0.25">
      <c r="A3" s="668"/>
      <c r="B3" s="669"/>
      <c r="C3" s="669"/>
      <c r="D3" s="669"/>
      <c r="E3" s="669"/>
      <c r="F3" s="669"/>
      <c r="G3" s="668"/>
      <c r="H3" s="670"/>
    </row>
    <row r="4" spans="1:8" x14ac:dyDescent="0.25">
      <c r="A4" s="626"/>
      <c r="B4" s="620"/>
      <c r="C4" s="620"/>
      <c r="D4" s="673"/>
      <c r="E4" s="674"/>
      <c r="F4" s="674"/>
      <c r="G4" s="626"/>
      <c r="H4" s="670"/>
    </row>
    <row r="5" spans="1:8" x14ac:dyDescent="0.25">
      <c r="A5" s="626"/>
      <c r="B5" s="620"/>
      <c r="C5" s="620"/>
      <c r="D5" s="675"/>
      <c r="E5" s="674"/>
      <c r="F5" s="674"/>
      <c r="G5" s="626"/>
      <c r="H5" s="670"/>
    </row>
    <row r="6" spans="1:8" x14ac:dyDescent="0.25">
      <c r="A6" s="676"/>
      <c r="B6" s="620"/>
      <c r="C6" s="620"/>
      <c r="D6" s="620"/>
      <c r="E6" s="674"/>
      <c r="F6" s="674"/>
      <c r="G6" s="676"/>
      <c r="H6" s="677"/>
    </row>
    <row r="7" spans="1:8" x14ac:dyDescent="0.25">
      <c r="A7" s="676"/>
      <c r="B7" s="620"/>
      <c r="C7" s="620"/>
      <c r="D7" s="620"/>
      <c r="E7" s="674"/>
      <c r="F7" s="674"/>
      <c r="G7" s="676"/>
      <c r="H7" s="670"/>
    </row>
    <row r="8" spans="1:8" x14ac:dyDescent="0.25">
      <c r="A8" s="676"/>
      <c r="B8" s="620"/>
      <c r="C8" s="620"/>
      <c r="D8" s="620"/>
      <c r="E8" s="674"/>
      <c r="F8" s="674"/>
      <c r="G8" s="676"/>
      <c r="H8" s="670"/>
    </row>
    <row r="9" spans="1:8" x14ac:dyDescent="0.25">
      <c r="A9" s="676"/>
      <c r="B9" s="620"/>
      <c r="C9" s="620"/>
      <c r="D9" s="620"/>
      <c r="E9" s="674"/>
      <c r="F9" s="674"/>
      <c r="G9" s="676"/>
      <c r="H9" s="670"/>
    </row>
    <row r="10" spans="1:8" x14ac:dyDescent="0.25">
      <c r="A10" s="676"/>
      <c r="B10" s="676"/>
      <c r="C10" s="620"/>
      <c r="D10" s="620"/>
      <c r="E10" s="674"/>
      <c r="F10" s="674"/>
      <c r="G10" s="676"/>
      <c r="H10" s="670"/>
    </row>
    <row r="11" spans="1:8" x14ac:dyDescent="0.25">
      <c r="A11" s="676"/>
      <c r="B11" s="620"/>
      <c r="C11" s="620"/>
      <c r="D11" s="620"/>
      <c r="E11" s="674"/>
      <c r="F11" s="674"/>
      <c r="G11" s="676"/>
      <c r="H11" s="670"/>
    </row>
    <row r="12" spans="1:8" x14ac:dyDescent="0.25">
      <c r="A12" s="676"/>
      <c r="B12" s="620"/>
      <c r="C12" s="620"/>
      <c r="D12" s="620"/>
      <c r="E12" s="674"/>
      <c r="F12" s="674"/>
      <c r="G12" s="676"/>
      <c r="H12" s="670"/>
    </row>
    <row r="13" spans="1:8" x14ac:dyDescent="0.25">
      <c r="A13" s="676"/>
      <c r="B13" s="620"/>
      <c r="C13" s="620"/>
      <c r="D13" s="620"/>
      <c r="E13" s="674"/>
      <c r="F13" s="674"/>
      <c r="G13" s="676"/>
      <c r="H13" s="670"/>
    </row>
    <row r="14" spans="1:8" x14ac:dyDescent="0.25">
      <c r="A14" s="676"/>
      <c r="B14" s="620"/>
      <c r="C14" s="620"/>
      <c r="D14" s="620"/>
      <c r="E14" s="674"/>
      <c r="F14" s="674"/>
      <c r="G14" s="676"/>
      <c r="H14" s="670"/>
    </row>
    <row r="15" spans="1:8" x14ac:dyDescent="0.25">
      <c r="A15" s="676"/>
      <c r="B15" s="620"/>
      <c r="C15" s="620"/>
      <c r="D15" s="620"/>
      <c r="E15" s="674"/>
      <c r="F15" s="674"/>
      <c r="G15" s="676"/>
      <c r="H15" s="670"/>
    </row>
    <row r="16" spans="1:8" x14ac:dyDescent="0.25">
      <c r="A16" s="676"/>
      <c r="B16" s="620"/>
      <c r="C16" s="620"/>
      <c r="D16" s="620"/>
      <c r="E16" s="674"/>
      <c r="F16" s="674"/>
      <c r="G16" s="676"/>
      <c r="H16" s="670"/>
    </row>
    <row r="17" spans="1:8" x14ac:dyDescent="0.25">
      <c r="A17" s="676"/>
      <c r="B17" s="620"/>
      <c r="C17" s="620"/>
      <c r="D17" s="620"/>
      <c r="E17" s="674"/>
      <c r="F17" s="674"/>
      <c r="G17" s="676"/>
      <c r="H17" s="670"/>
    </row>
    <row r="18" spans="1:8" x14ac:dyDescent="0.25">
      <c r="A18" s="676"/>
      <c r="B18" s="620"/>
      <c r="C18" s="620"/>
      <c r="D18" s="620"/>
      <c r="E18" s="674"/>
      <c r="F18" s="674"/>
      <c r="G18" s="676"/>
      <c r="H18" s="670"/>
    </row>
    <row r="19" spans="1:8" x14ac:dyDescent="0.25">
      <c r="A19" s="676"/>
      <c r="B19" s="620"/>
      <c r="C19" s="620"/>
      <c r="D19" s="620"/>
      <c r="E19" s="674"/>
      <c r="F19" s="674"/>
      <c r="G19" s="676"/>
      <c r="H19" s="670"/>
    </row>
    <row r="20" spans="1:8" x14ac:dyDescent="0.25">
      <c r="A20" s="676"/>
      <c r="B20" s="620"/>
      <c r="C20" s="620"/>
      <c r="D20" s="620"/>
      <c r="E20" s="674"/>
      <c r="F20" s="674"/>
      <c r="G20" s="676"/>
      <c r="H20" s="670"/>
    </row>
    <row r="21" spans="1:8" x14ac:dyDescent="0.25">
      <c r="A21" s="676"/>
      <c r="B21" s="620"/>
      <c r="C21" s="620"/>
      <c r="D21" s="621"/>
      <c r="E21" s="622"/>
      <c r="F21" s="674"/>
      <c r="G21" s="676"/>
      <c r="H21" s="670"/>
    </row>
    <row r="22" spans="1:8" x14ac:dyDescent="0.25">
      <c r="A22" s="676"/>
      <c r="B22" s="620"/>
      <c r="C22" s="620"/>
      <c r="D22" s="621"/>
      <c r="E22" s="622"/>
      <c r="F22" s="674"/>
      <c r="G22" s="676"/>
      <c r="H22" s="670"/>
    </row>
    <row r="23" spans="1:8" x14ac:dyDescent="0.25">
      <c r="A23" s="676"/>
      <c r="B23" s="620"/>
      <c r="C23" s="620"/>
      <c r="D23" s="621"/>
      <c r="E23" s="622"/>
      <c r="F23" s="674"/>
      <c r="G23" s="676"/>
      <c r="H23" s="670"/>
    </row>
    <row r="24" spans="1:8" x14ac:dyDescent="0.25">
      <c r="A24" s="676"/>
      <c r="B24" s="620"/>
      <c r="C24" s="620"/>
      <c r="D24" s="621"/>
      <c r="E24" s="622"/>
      <c r="F24" s="622"/>
      <c r="G24" s="676"/>
      <c r="H24" s="670"/>
    </row>
    <row r="25" spans="1:8" x14ac:dyDescent="0.25">
      <c r="A25" s="676"/>
      <c r="B25" s="620"/>
      <c r="C25" s="620"/>
      <c r="D25" s="621"/>
      <c r="E25" s="622"/>
      <c r="F25" s="674"/>
      <c r="G25" s="676"/>
      <c r="H25" s="670"/>
    </row>
    <row r="26" spans="1:8" x14ac:dyDescent="0.25">
      <c r="A26" s="619"/>
      <c r="B26" s="620"/>
      <c r="C26" s="407"/>
      <c r="D26" s="621"/>
      <c r="E26" s="622"/>
      <c r="F26" s="622"/>
      <c r="G26" s="619"/>
      <c r="H26" s="623"/>
    </row>
    <row r="27" spans="1:8" x14ac:dyDescent="0.25">
      <c r="A27" s="619"/>
      <c r="B27" s="620"/>
      <c r="C27" s="407"/>
      <c r="D27" s="621"/>
      <c r="E27" s="622"/>
      <c r="F27" s="622"/>
      <c r="G27" s="619"/>
      <c r="H27" s="623"/>
    </row>
    <row r="28" spans="1:8" x14ac:dyDescent="0.25">
      <c r="A28" s="323"/>
      <c r="B28" s="346"/>
      <c r="C28" s="346"/>
      <c r="D28" s="647"/>
      <c r="E28" s="654"/>
      <c r="F28" s="649"/>
      <c r="G28" s="323"/>
    </row>
    <row r="29" spans="1:8" x14ac:dyDescent="0.25">
      <c r="A29" s="323"/>
      <c r="B29" s="346"/>
      <c r="C29" s="346"/>
      <c r="D29" s="647"/>
      <c r="E29" s="654"/>
      <c r="F29" s="649"/>
      <c r="G29" s="323"/>
    </row>
    <row r="30" spans="1:8" x14ac:dyDescent="0.25">
      <c r="A30" s="323"/>
      <c r="B30" s="346"/>
      <c r="C30" s="346"/>
      <c r="D30" s="647"/>
      <c r="E30" s="654"/>
      <c r="F30" s="649"/>
      <c r="G30" s="323"/>
    </row>
    <row r="31" spans="1:8" x14ac:dyDescent="0.25">
      <c r="A31" s="323"/>
      <c r="B31" s="346"/>
      <c r="C31" s="346"/>
      <c r="D31" s="647"/>
      <c r="E31" s="654"/>
      <c r="F31" s="649"/>
      <c r="G31" s="323"/>
    </row>
    <row r="32" spans="1:8" x14ac:dyDescent="0.25">
      <c r="A32" s="328"/>
      <c r="B32" s="324"/>
      <c r="C32" s="324"/>
      <c r="D32" s="333"/>
      <c r="E32" s="344"/>
      <c r="F32" s="352"/>
      <c r="G32" s="328"/>
    </row>
    <row r="33" spans="1:7" x14ac:dyDescent="0.25">
      <c r="A33" s="328"/>
      <c r="B33" s="328"/>
      <c r="C33" s="328"/>
      <c r="D33" s="333"/>
      <c r="E33" s="344"/>
      <c r="F33" s="352"/>
      <c r="G33" s="328"/>
    </row>
    <row r="34" spans="1:7" x14ac:dyDescent="0.25">
      <c r="A34" s="328"/>
      <c r="B34" s="346"/>
      <c r="C34" s="324"/>
      <c r="D34" s="333"/>
      <c r="E34" s="344"/>
      <c r="F34" s="352"/>
      <c r="G34" s="328"/>
    </row>
    <row r="35" spans="1:7" x14ac:dyDescent="0.25">
      <c r="A35" s="328"/>
      <c r="B35" s="346"/>
      <c r="C35" s="324"/>
      <c r="D35" s="333"/>
      <c r="E35" s="344"/>
      <c r="F35" s="352"/>
      <c r="G35" s="328"/>
    </row>
    <row r="36" spans="1:7" x14ac:dyDescent="0.25">
      <c r="A36" s="328"/>
      <c r="B36" s="346"/>
      <c r="C36" s="324"/>
      <c r="D36" s="333"/>
      <c r="E36" s="344"/>
      <c r="F36" s="352"/>
      <c r="G36" s="328"/>
    </row>
    <row r="37" spans="1:7" x14ac:dyDescent="0.25">
      <c r="A37" s="328"/>
      <c r="B37" s="346"/>
      <c r="C37" s="324"/>
      <c r="D37" s="333"/>
      <c r="E37" s="344"/>
      <c r="F37" s="352"/>
      <c r="G37" s="328"/>
    </row>
    <row r="38" spans="1:7" x14ac:dyDescent="0.25">
      <c r="A38" s="328"/>
      <c r="B38" s="346"/>
      <c r="C38" s="324"/>
      <c r="D38" s="333"/>
      <c r="E38" s="344"/>
      <c r="F38" s="352"/>
      <c r="G38" s="328"/>
    </row>
    <row r="39" spans="1:7" x14ac:dyDescent="0.25">
      <c r="A39" s="328"/>
      <c r="B39" s="346"/>
      <c r="C39" s="324"/>
      <c r="D39" s="333"/>
      <c r="E39" s="344"/>
      <c r="F39" s="352"/>
      <c r="G39" s="328"/>
    </row>
    <row r="40" spans="1:7" x14ac:dyDescent="0.25">
      <c r="A40" s="328"/>
      <c r="B40" s="346"/>
      <c r="C40" s="324"/>
      <c r="D40" s="333"/>
      <c r="E40" s="344"/>
      <c r="F40" s="352"/>
      <c r="G40" s="328"/>
    </row>
    <row r="41" spans="1:7" x14ac:dyDescent="0.25">
      <c r="A41" s="328"/>
      <c r="B41" s="346"/>
      <c r="C41" s="324"/>
      <c r="D41" s="333"/>
      <c r="E41" s="344"/>
      <c r="F41" s="352"/>
      <c r="G41" s="328"/>
    </row>
    <row r="42" spans="1:7" x14ac:dyDescent="0.25">
      <c r="A42" s="328"/>
      <c r="B42" s="346"/>
      <c r="C42" s="324"/>
      <c r="D42" s="333"/>
      <c r="E42" s="344"/>
      <c r="F42" s="352"/>
      <c r="G42" s="328"/>
    </row>
    <row r="43" spans="1:7" x14ac:dyDescent="0.25">
      <c r="A43" s="328"/>
      <c r="B43" s="346"/>
      <c r="C43" s="324"/>
      <c r="D43" s="333"/>
      <c r="E43" s="344"/>
      <c r="F43" s="352"/>
      <c r="G43" s="328"/>
    </row>
    <row r="44" spans="1:7" x14ac:dyDescent="0.25">
      <c r="A44" s="328"/>
      <c r="B44" s="346"/>
      <c r="C44" s="324"/>
      <c r="D44" s="333"/>
      <c r="E44" s="344"/>
      <c r="F44" s="352"/>
      <c r="G44" s="328"/>
    </row>
    <row r="45" spans="1:7" x14ac:dyDescent="0.25">
      <c r="A45" s="328"/>
      <c r="B45" s="346"/>
      <c r="C45" s="324"/>
      <c r="D45" s="333"/>
      <c r="E45" s="344"/>
      <c r="F45" s="352"/>
      <c r="G45" s="328"/>
    </row>
    <row r="46" spans="1:7" x14ac:dyDescent="0.25">
      <c r="A46" s="328"/>
      <c r="B46" s="346"/>
      <c r="C46" s="324"/>
      <c r="D46" s="330"/>
      <c r="E46" s="344"/>
      <c r="F46" s="352"/>
      <c r="G46" s="328"/>
    </row>
    <row r="47" spans="1:7" x14ac:dyDescent="0.25">
      <c r="A47" s="328"/>
      <c r="B47" s="346"/>
      <c r="C47" s="324"/>
      <c r="D47" s="330"/>
      <c r="E47" s="344"/>
      <c r="F47" s="352"/>
      <c r="G47" s="328"/>
    </row>
    <row r="48" spans="1:7" x14ac:dyDescent="0.25">
      <c r="A48" s="328"/>
      <c r="B48" s="346"/>
      <c r="C48" s="324"/>
      <c r="D48" s="330"/>
      <c r="E48" s="344"/>
      <c r="F48" s="352"/>
      <c r="G48" s="328"/>
    </row>
    <row r="49" spans="1:7" x14ac:dyDescent="0.25">
      <c r="A49" s="328"/>
      <c r="B49" s="346"/>
      <c r="C49" s="324"/>
      <c r="D49" s="330"/>
      <c r="E49" s="344"/>
      <c r="F49" s="352"/>
      <c r="G49" s="328"/>
    </row>
    <row r="50" spans="1:7" x14ac:dyDescent="0.25">
      <c r="A50" s="328"/>
      <c r="B50" s="346"/>
      <c r="C50" s="324"/>
      <c r="D50" s="330"/>
      <c r="E50" s="344"/>
      <c r="F50" s="352"/>
      <c r="G50" s="328"/>
    </row>
    <row r="51" spans="1:7" x14ac:dyDescent="0.25">
      <c r="A51" s="328"/>
      <c r="B51" s="346"/>
      <c r="C51" s="324"/>
      <c r="D51" s="330"/>
      <c r="E51" s="344"/>
      <c r="F51" s="352"/>
      <c r="G51" s="328"/>
    </row>
    <row r="52" spans="1:7" x14ac:dyDescent="0.25">
      <c r="A52" s="328"/>
      <c r="B52" s="346"/>
      <c r="C52" s="324"/>
      <c r="D52" s="330"/>
      <c r="E52" s="344"/>
      <c r="F52" s="352"/>
      <c r="G52" s="328"/>
    </row>
    <row r="53" spans="1:7" x14ac:dyDescent="0.25">
      <c r="A53" s="328"/>
      <c r="B53" s="346"/>
      <c r="C53" s="324"/>
      <c r="D53" s="330"/>
      <c r="E53" s="344"/>
      <c r="F53" s="352"/>
      <c r="G53" s="328"/>
    </row>
    <row r="54" spans="1:7" x14ac:dyDescent="0.25">
      <c r="A54" s="328"/>
      <c r="B54" s="346"/>
      <c r="C54" s="324"/>
      <c r="D54" s="330"/>
      <c r="E54" s="344"/>
      <c r="F54" s="352"/>
      <c r="G54" s="328"/>
    </row>
    <row r="55" spans="1:7" x14ac:dyDescent="0.25">
      <c r="A55" s="328"/>
      <c r="B55" s="324"/>
      <c r="C55" s="330"/>
      <c r="D55" s="330"/>
      <c r="E55" s="344"/>
      <c r="F55" s="352"/>
      <c r="G55" s="328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LISTE!$A$2:$A$11</xm:f>
          </x14:formula1>
          <xm:sqref>B3:B1048576</xm:sqref>
        </x14:dataValidation>
        <x14:dataValidation type="list" allowBlank="1" showInputMessage="1" showErrorMessage="1">
          <x14:formula1>
            <xm:f>LISTE!$C$2:$C$31</xm:f>
          </x14:formula1>
          <xm:sqref>D28:D1048576 E3:E27</xm:sqref>
        </x14:dataValidation>
        <x14:dataValidation type="list" allowBlank="1" showInputMessage="1" showErrorMessage="1">
          <x14:formula1>
            <xm:f>LISTE!$B$2:$B$468</xm:f>
          </x14:formula1>
          <xm:sqref>C19:C1048576 C3:C4 C7</xm:sqref>
        </x14:dataValidation>
        <x14:dataValidation type="list" allowBlank="1" showInputMessage="1" showErrorMessage="1">
          <x14:formula1>
            <xm:f>LISTE!$D$2:$D$8</xm:f>
          </x14:formula1>
          <xm:sqref>F3:G27</xm:sqref>
        </x14:dataValidation>
        <x14:dataValidation type="list" allowBlank="1" showInputMessage="1" showErrorMessage="1">
          <x14:formula1>
            <xm:f>LISTE!$I$2:$I$7</xm:f>
          </x14:formula1>
          <xm:sqref>A3:A1048576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tabColor theme="7" tint="0.79998168889431442"/>
    <pageSetUpPr fitToPage="1"/>
  </sheetPr>
  <dimension ref="A1:O476"/>
  <sheetViews>
    <sheetView showGridLines="0" zoomScaleNormal="100" zoomScaleSheetLayoutView="70" workbookViewId="0">
      <pane xSplit="8" ySplit="2" topLeftCell="I3" activePane="bottomRight" state="frozen"/>
      <selection pane="topRight" activeCell="I1" sqref="I1"/>
      <selection pane="bottomLeft" activeCell="A3" sqref="A3"/>
      <selection pane="bottomRight" activeCell="F21" sqref="F21"/>
    </sheetView>
  </sheetViews>
  <sheetFormatPr baseColWidth="10" defaultColWidth="18.42578125" defaultRowHeight="15.75" customHeight="1" outlineLevelCol="1" x14ac:dyDescent="0.25"/>
  <cols>
    <col min="1" max="1" width="7.42578125" style="211" bestFit="1" customWidth="1"/>
    <col min="2" max="2" width="10.85546875" style="172" customWidth="1"/>
    <col min="3" max="3" width="16" style="13" customWidth="1"/>
    <col min="4" max="4" width="12" style="11" customWidth="1" outlineLevel="1"/>
    <col min="5" max="5" width="13.28515625" style="12" customWidth="1"/>
    <col min="6" max="6" width="13.28515625" style="197" customWidth="1"/>
    <col min="7" max="7" width="9.5703125" style="11" bestFit="1" customWidth="1"/>
    <col min="8" max="8" width="18.7109375" style="393" bestFit="1" customWidth="1"/>
    <col min="9" max="9" width="9" style="387" customWidth="1" outlineLevel="1"/>
    <col min="10" max="10" width="11.7109375" style="388" customWidth="1"/>
    <col min="11" max="11" width="10.85546875" style="389" bestFit="1" customWidth="1"/>
    <col min="12" max="13" width="7.7109375" style="389" customWidth="1" outlineLevel="1"/>
    <col min="14" max="14" width="10.5703125" style="389" bestFit="1" customWidth="1" outlineLevel="1"/>
    <col min="15" max="15" width="35" style="390" customWidth="1"/>
    <col min="16" max="16384" width="18.42578125" style="13"/>
  </cols>
  <sheetData>
    <row r="1" spans="1:15" ht="15.75" customHeight="1" x14ac:dyDescent="0.25">
      <c r="C1" s="172"/>
      <c r="E1" s="13"/>
      <c r="G1" s="698">
        <f>SUBTOTAL(3,G3:G476)</f>
        <v>0</v>
      </c>
      <c r="H1" s="699">
        <f>SUBTOTAL(9,H3:H476)</f>
        <v>0</v>
      </c>
      <c r="I1" s="177"/>
      <c r="J1" s="233"/>
      <c r="K1" s="176"/>
      <c r="L1" s="13"/>
      <c r="M1" s="13"/>
      <c r="N1" s="13"/>
      <c r="O1" s="212"/>
    </row>
    <row r="2" spans="1:15" s="401" customFormat="1" ht="36" customHeight="1" x14ac:dyDescent="0.25">
      <c r="A2" s="394" t="s">
        <v>53</v>
      </c>
      <c r="B2" s="395" t="s">
        <v>54</v>
      </c>
      <c r="C2" s="396" t="s">
        <v>55</v>
      </c>
      <c r="D2" s="173" t="s">
        <v>56</v>
      </c>
      <c r="E2" s="397" t="s">
        <v>57</v>
      </c>
      <c r="F2" s="396" t="s">
        <v>58</v>
      </c>
      <c r="G2" s="173" t="s">
        <v>59</v>
      </c>
      <c r="H2" s="398" t="s">
        <v>60</v>
      </c>
      <c r="I2" s="173" t="s">
        <v>61</v>
      </c>
      <c r="J2" s="399" t="s">
        <v>62</v>
      </c>
      <c r="K2" s="173" t="s">
        <v>63</v>
      </c>
      <c r="L2" s="400" t="s">
        <v>64</v>
      </c>
      <c r="M2" s="400" t="s">
        <v>65</v>
      </c>
      <c r="N2" s="400" t="s">
        <v>66</v>
      </c>
      <c r="O2" s="400" t="s">
        <v>67</v>
      </c>
    </row>
    <row r="3" spans="1:15" ht="15.75" customHeight="1" x14ac:dyDescent="0.25">
      <c r="A3" s="194"/>
      <c r="B3" s="171"/>
      <c r="C3" s="174"/>
      <c r="D3" s="168"/>
      <c r="E3" s="222"/>
      <c r="F3" s="402"/>
      <c r="G3" s="168"/>
      <c r="H3" s="391"/>
      <c r="I3" s="175"/>
      <c r="J3" s="200"/>
      <c r="K3" s="216"/>
      <c r="L3" s="216"/>
      <c r="M3" s="216"/>
      <c r="N3" s="216"/>
      <c r="O3" s="213"/>
    </row>
    <row r="4" spans="1:15" ht="15.75" customHeight="1" x14ac:dyDescent="0.25">
      <c r="A4" s="194"/>
      <c r="B4" s="171"/>
      <c r="C4" s="174"/>
      <c r="D4" s="171"/>
      <c r="E4" s="222"/>
      <c r="F4" s="403"/>
      <c r="G4" s="168"/>
      <c r="H4" s="391"/>
      <c r="I4" s="175"/>
      <c r="J4" s="200"/>
      <c r="K4" s="216"/>
      <c r="L4" s="218"/>
      <c r="M4" s="218"/>
      <c r="N4" s="218"/>
      <c r="O4" s="217"/>
    </row>
    <row r="5" spans="1:15" ht="15.75" customHeight="1" x14ac:dyDescent="0.25">
      <c r="A5" s="194"/>
      <c r="B5" s="171"/>
      <c r="C5" s="174"/>
      <c r="D5" s="687"/>
      <c r="E5" s="222"/>
      <c r="F5" s="688"/>
      <c r="G5" s="168"/>
      <c r="H5" s="391"/>
      <c r="I5" s="546"/>
      <c r="J5" s="200"/>
      <c r="K5" s="547"/>
      <c r="L5" s="547"/>
      <c r="M5" s="547"/>
      <c r="N5" s="547"/>
      <c r="O5" s="213"/>
    </row>
    <row r="6" spans="1:15" ht="15.75" customHeight="1" x14ac:dyDescent="0.25">
      <c r="A6" s="194"/>
      <c r="B6" s="171"/>
      <c r="C6" s="174"/>
      <c r="D6" s="687"/>
      <c r="E6" s="222"/>
      <c r="F6" s="688"/>
      <c r="G6" s="168"/>
      <c r="H6" s="391"/>
      <c r="I6" s="546"/>
      <c r="J6" s="200"/>
      <c r="K6" s="547"/>
      <c r="L6" s="547"/>
      <c r="M6" s="547"/>
      <c r="N6" s="547"/>
      <c r="O6" s="213"/>
    </row>
    <row r="7" spans="1:15" ht="15.75" customHeight="1" x14ac:dyDescent="0.25">
      <c r="A7" s="194"/>
      <c r="B7" s="171"/>
      <c r="C7" s="174"/>
      <c r="D7" s="687"/>
      <c r="E7" s="222"/>
      <c r="F7" s="688"/>
      <c r="G7" s="168"/>
      <c r="H7" s="391"/>
      <c r="I7" s="546"/>
      <c r="J7" s="200"/>
      <c r="K7" s="547"/>
      <c r="L7" s="547"/>
      <c r="M7" s="547"/>
      <c r="N7" s="547"/>
      <c r="O7" s="213"/>
    </row>
    <row r="8" spans="1:15" ht="15.75" customHeight="1" x14ac:dyDescent="0.25">
      <c r="A8" s="194"/>
      <c r="B8" s="171"/>
      <c r="C8" s="174"/>
      <c r="D8" s="168"/>
      <c r="E8" s="222"/>
      <c r="F8" s="403"/>
      <c r="G8" s="168"/>
      <c r="H8" s="391"/>
      <c r="I8" s="175"/>
      <c r="J8" s="200"/>
      <c r="K8" s="216"/>
      <c r="L8" s="216"/>
      <c r="M8" s="216"/>
      <c r="N8" s="216"/>
      <c r="O8" s="213"/>
    </row>
    <row r="9" spans="1:15" ht="15.75" customHeight="1" x14ac:dyDescent="0.25">
      <c r="A9" s="194"/>
      <c r="B9" s="171"/>
      <c r="C9" s="403"/>
      <c r="D9" s="174"/>
      <c r="E9" s="222"/>
      <c r="F9" s="403"/>
      <c r="G9" s="169"/>
      <c r="H9" s="391"/>
      <c r="I9" s="175"/>
      <c r="J9" s="200"/>
      <c r="K9" s="216"/>
      <c r="L9" s="216"/>
      <c r="M9" s="216"/>
      <c r="N9" s="216"/>
      <c r="O9" s="213"/>
    </row>
    <row r="10" spans="1:15" ht="15.75" customHeight="1" x14ac:dyDescent="0.25">
      <c r="A10" s="194"/>
      <c r="B10" s="171"/>
      <c r="C10" s="174"/>
      <c r="D10" s="168"/>
      <c r="E10" s="174"/>
      <c r="F10" s="402"/>
      <c r="G10" s="168"/>
      <c r="H10" s="391"/>
      <c r="I10" s="175"/>
      <c r="J10" s="200"/>
      <c r="K10" s="216"/>
      <c r="L10" s="216"/>
      <c r="M10" s="216"/>
      <c r="N10" s="216"/>
      <c r="O10" s="213"/>
    </row>
    <row r="11" spans="1:15" ht="15.75" customHeight="1" x14ac:dyDescent="0.25">
      <c r="A11" s="194"/>
      <c r="B11" s="171"/>
      <c r="C11" s="174"/>
      <c r="D11" s="687"/>
      <c r="E11" s="222"/>
      <c r="F11" s="688"/>
      <c r="G11" s="168"/>
      <c r="H11" s="391"/>
      <c r="I11" s="546"/>
      <c r="J11" s="200"/>
      <c r="K11" s="547"/>
      <c r="L11" s="547"/>
      <c r="M11" s="547"/>
      <c r="N11" s="547"/>
      <c r="O11" s="213"/>
    </row>
    <row r="12" spans="1:15" ht="15.75" customHeight="1" x14ac:dyDescent="0.25">
      <c r="A12" s="194"/>
      <c r="B12" s="171"/>
      <c r="C12" s="174"/>
      <c r="D12" s="168"/>
      <c r="E12" s="222"/>
      <c r="F12" s="403"/>
      <c r="G12" s="168"/>
      <c r="H12" s="391"/>
      <c r="I12" s="175"/>
      <c r="J12" s="200"/>
      <c r="K12" s="216"/>
      <c r="L12" s="216"/>
      <c r="M12" s="216"/>
      <c r="N12" s="216"/>
      <c r="O12" s="213"/>
    </row>
    <row r="13" spans="1:15" ht="15.75" customHeight="1" x14ac:dyDescent="0.25">
      <c r="A13" s="194"/>
      <c r="B13" s="171"/>
      <c r="C13" s="174"/>
      <c r="D13" s="168"/>
      <c r="E13" s="174"/>
      <c r="F13" s="402"/>
      <c r="G13" s="168"/>
      <c r="H13" s="391"/>
      <c r="I13" s="175"/>
      <c r="J13" s="200"/>
      <c r="K13" s="216"/>
      <c r="L13" s="216"/>
      <c r="M13" s="216"/>
      <c r="N13" s="216"/>
      <c r="O13" s="213"/>
    </row>
    <row r="14" spans="1:15" ht="15.75" customHeight="1" x14ac:dyDescent="0.25">
      <c r="A14" s="194"/>
      <c r="B14" s="171"/>
      <c r="C14" s="174"/>
      <c r="D14" s="168"/>
      <c r="E14" s="222"/>
      <c r="F14" s="402"/>
      <c r="G14" s="168"/>
      <c r="H14" s="391"/>
      <c r="I14" s="175"/>
      <c r="J14" s="200"/>
      <c r="K14" s="216"/>
      <c r="L14" s="216"/>
      <c r="M14" s="216"/>
      <c r="N14" s="216"/>
      <c r="O14" s="213"/>
    </row>
    <row r="15" spans="1:15" ht="15.75" customHeight="1" x14ac:dyDescent="0.25">
      <c r="A15" s="194"/>
      <c r="B15" s="171"/>
      <c r="C15" s="174"/>
      <c r="D15" s="168"/>
      <c r="E15" s="222"/>
      <c r="F15" s="402"/>
      <c r="G15" s="168"/>
      <c r="H15" s="391"/>
      <c r="I15" s="175"/>
      <c r="J15" s="200"/>
      <c r="K15" s="216"/>
      <c r="L15" s="216"/>
      <c r="M15" s="216"/>
      <c r="N15" s="216"/>
      <c r="O15" s="213"/>
    </row>
    <row r="16" spans="1:15" ht="15.75" customHeight="1" x14ac:dyDescent="0.25">
      <c r="A16" s="194"/>
      <c r="B16" s="171"/>
      <c r="D16" s="689"/>
      <c r="E16" s="222"/>
      <c r="F16" s="688"/>
      <c r="G16" s="168"/>
      <c r="H16" s="391"/>
      <c r="I16" s="546"/>
      <c r="J16" s="200"/>
      <c r="K16" s="547"/>
      <c r="L16" s="547"/>
      <c r="M16" s="547"/>
      <c r="N16" s="547"/>
      <c r="O16" s="213"/>
    </row>
    <row r="17" spans="1:15" ht="15.75" customHeight="1" x14ac:dyDescent="0.25">
      <c r="A17" s="194"/>
      <c r="B17" s="171"/>
      <c r="D17" s="689"/>
      <c r="E17" s="222"/>
      <c r="F17" s="688"/>
      <c r="G17" s="168"/>
      <c r="H17" s="391"/>
      <c r="I17" s="546"/>
      <c r="J17" s="200"/>
      <c r="K17" s="547"/>
      <c r="L17" s="547"/>
      <c r="M17" s="547"/>
      <c r="N17" s="547"/>
      <c r="O17" s="213"/>
    </row>
    <row r="18" spans="1:15" ht="15.75" customHeight="1" x14ac:dyDescent="0.25">
      <c r="A18" s="194"/>
      <c r="B18" s="171"/>
      <c r="C18" s="690"/>
      <c r="D18" s="13"/>
      <c r="E18" s="222"/>
      <c r="F18" s="403"/>
      <c r="G18" s="169"/>
      <c r="H18" s="391"/>
      <c r="I18" s="175"/>
      <c r="J18" s="200"/>
      <c r="K18" s="216"/>
      <c r="L18" s="216"/>
      <c r="M18" s="216"/>
      <c r="N18" s="216"/>
      <c r="O18" s="213"/>
    </row>
    <row r="19" spans="1:15" ht="15.75" customHeight="1" x14ac:dyDescent="0.25">
      <c r="A19" s="194"/>
      <c r="B19" s="171"/>
      <c r="D19" s="689"/>
      <c r="E19" s="222"/>
      <c r="F19" s="688"/>
      <c r="G19" s="168"/>
      <c r="H19" s="391"/>
      <c r="I19" s="546"/>
      <c r="J19" s="200"/>
      <c r="K19" s="547"/>
      <c r="L19" s="547"/>
      <c r="M19" s="547"/>
      <c r="N19" s="547"/>
      <c r="O19" s="213"/>
    </row>
    <row r="20" spans="1:15" ht="15.75" customHeight="1" x14ac:dyDescent="0.25">
      <c r="A20" s="194"/>
      <c r="B20" s="171"/>
      <c r="C20" s="690"/>
      <c r="D20" s="13"/>
      <c r="E20" s="222"/>
      <c r="F20" s="403"/>
      <c r="G20" s="169"/>
      <c r="H20" s="391"/>
      <c r="I20" s="175"/>
      <c r="J20" s="200"/>
      <c r="K20" s="216"/>
      <c r="L20" s="216"/>
      <c r="M20" s="216"/>
      <c r="N20" s="216"/>
      <c r="O20" s="213"/>
    </row>
    <row r="21" spans="1:15" ht="15.75" customHeight="1" x14ac:dyDescent="0.25">
      <c r="A21" s="194"/>
      <c r="B21" s="171"/>
      <c r="C21" s="690"/>
      <c r="D21" s="13"/>
      <c r="E21" s="222"/>
      <c r="F21" s="403"/>
      <c r="G21" s="169"/>
      <c r="H21" s="391"/>
      <c r="I21" s="175"/>
      <c r="J21" s="200"/>
      <c r="K21" s="216"/>
      <c r="L21" s="216"/>
      <c r="M21" s="216"/>
      <c r="N21" s="216"/>
      <c r="O21" s="213"/>
    </row>
    <row r="22" spans="1:15" ht="15.75" customHeight="1" x14ac:dyDescent="0.25">
      <c r="A22" s="194"/>
      <c r="B22" s="171"/>
      <c r="C22" s="690"/>
      <c r="D22" s="13"/>
      <c r="E22" s="222"/>
      <c r="F22" s="403"/>
      <c r="G22" s="169"/>
      <c r="H22" s="391"/>
      <c r="I22" s="175"/>
      <c r="J22" s="200"/>
      <c r="K22" s="216"/>
      <c r="L22" s="216"/>
      <c r="M22" s="216"/>
      <c r="N22" s="216"/>
      <c r="O22" s="213"/>
    </row>
    <row r="23" spans="1:15" ht="15.75" customHeight="1" x14ac:dyDescent="0.25">
      <c r="A23" s="194"/>
      <c r="B23" s="171"/>
      <c r="E23" s="222"/>
      <c r="F23" s="402"/>
      <c r="G23" s="168"/>
      <c r="H23" s="391"/>
      <c r="I23" s="175"/>
      <c r="J23" s="200"/>
      <c r="K23" s="216"/>
      <c r="L23" s="216"/>
      <c r="M23" s="216"/>
      <c r="N23" s="216"/>
      <c r="O23" s="213"/>
    </row>
    <row r="24" spans="1:15" ht="15.75" customHeight="1" x14ac:dyDescent="0.25">
      <c r="A24" s="194"/>
      <c r="B24" s="171"/>
      <c r="E24" s="222"/>
      <c r="F24" s="402"/>
      <c r="G24" s="168"/>
      <c r="H24" s="391"/>
      <c r="I24" s="175"/>
      <c r="J24" s="200"/>
      <c r="K24" s="216"/>
      <c r="L24" s="216"/>
      <c r="M24" s="216"/>
      <c r="N24" s="216"/>
      <c r="O24" s="213"/>
    </row>
    <row r="25" spans="1:15" ht="15.75" customHeight="1" x14ac:dyDescent="0.25">
      <c r="A25" s="194"/>
      <c r="B25" s="171"/>
      <c r="E25" s="174"/>
      <c r="F25" s="403"/>
      <c r="G25" s="168"/>
      <c r="H25" s="391"/>
      <c r="I25" s="175"/>
      <c r="J25" s="200"/>
      <c r="K25" s="216"/>
      <c r="L25" s="216"/>
      <c r="M25" s="216"/>
      <c r="N25" s="216"/>
      <c r="O25" s="213"/>
    </row>
    <row r="26" spans="1:15" ht="15.75" customHeight="1" x14ac:dyDescent="0.25">
      <c r="A26" s="194"/>
      <c r="B26" s="171"/>
      <c r="D26" s="172"/>
      <c r="E26" s="222"/>
      <c r="F26" s="402"/>
      <c r="G26" s="168"/>
      <c r="H26" s="391"/>
      <c r="I26" s="175"/>
      <c r="J26" s="200"/>
      <c r="K26" s="216"/>
      <c r="L26" s="216"/>
      <c r="M26" s="216"/>
      <c r="N26" s="216"/>
      <c r="O26" s="213"/>
    </row>
    <row r="27" spans="1:15" ht="15.75" customHeight="1" x14ac:dyDescent="0.25">
      <c r="A27" s="194"/>
      <c r="B27" s="171"/>
      <c r="E27" s="174"/>
      <c r="F27" s="402"/>
      <c r="G27" s="168"/>
      <c r="H27" s="391"/>
      <c r="I27" s="175"/>
      <c r="J27" s="200"/>
      <c r="K27" s="216"/>
      <c r="L27" s="216"/>
      <c r="M27" s="216"/>
      <c r="N27" s="216"/>
      <c r="O27" s="213"/>
    </row>
    <row r="28" spans="1:15" ht="15.75" customHeight="1" x14ac:dyDescent="0.25">
      <c r="A28" s="215"/>
      <c r="B28" s="171"/>
      <c r="E28" s="174"/>
      <c r="F28" s="563"/>
      <c r="G28" s="209"/>
      <c r="H28" s="392"/>
      <c r="I28" s="210"/>
      <c r="J28" s="200"/>
      <c r="K28" s="216"/>
      <c r="L28" s="220"/>
      <c r="M28" s="220"/>
      <c r="N28" s="220"/>
      <c r="O28" s="213"/>
    </row>
    <row r="29" spans="1:15" ht="15.75" customHeight="1" x14ac:dyDescent="0.25">
      <c r="A29" s="194"/>
      <c r="B29" s="171"/>
      <c r="C29" s="174"/>
      <c r="D29" s="168"/>
      <c r="E29" s="174"/>
      <c r="F29" s="402"/>
      <c r="G29" s="168"/>
      <c r="H29" s="391"/>
      <c r="I29" s="175"/>
      <c r="J29" s="200"/>
      <c r="K29" s="216"/>
      <c r="L29" s="216"/>
      <c r="M29" s="216"/>
      <c r="N29" s="216"/>
      <c r="O29" s="213"/>
    </row>
    <row r="30" spans="1:15" ht="15.75" customHeight="1" x14ac:dyDescent="0.25">
      <c r="A30" s="215"/>
      <c r="B30" s="171"/>
      <c r="C30" s="691"/>
      <c r="D30" s="692"/>
      <c r="E30" s="222"/>
      <c r="F30" s="693"/>
      <c r="G30" s="209"/>
      <c r="H30" s="392"/>
      <c r="I30" s="562"/>
      <c r="J30" s="200"/>
      <c r="K30" s="547"/>
      <c r="L30" s="548"/>
      <c r="M30" s="548"/>
      <c r="N30" s="548"/>
      <c r="O30" s="213"/>
    </row>
    <row r="31" spans="1:15" ht="15.75" customHeight="1" x14ac:dyDescent="0.25">
      <c r="A31" s="194"/>
      <c r="B31" s="171"/>
      <c r="D31" s="689"/>
      <c r="E31" s="222"/>
      <c r="F31" s="688"/>
      <c r="G31" s="168"/>
      <c r="H31" s="391"/>
      <c r="I31" s="546"/>
      <c r="J31" s="200"/>
      <c r="K31" s="548"/>
      <c r="L31" s="547"/>
      <c r="M31" s="547"/>
      <c r="N31" s="547"/>
      <c r="O31" s="213"/>
    </row>
    <row r="32" spans="1:15" ht="15.75" customHeight="1" x14ac:dyDescent="0.25">
      <c r="A32" s="194"/>
      <c r="B32" s="171"/>
      <c r="D32" s="689"/>
      <c r="E32" s="222"/>
      <c r="F32" s="688"/>
      <c r="G32" s="168"/>
      <c r="H32" s="391"/>
      <c r="I32" s="546"/>
      <c r="J32" s="408"/>
      <c r="K32" s="548"/>
      <c r="L32" s="547"/>
      <c r="M32" s="547"/>
      <c r="N32" s="547"/>
      <c r="O32" s="213"/>
    </row>
    <row r="33" spans="1:15" ht="15.75" customHeight="1" x14ac:dyDescent="0.25">
      <c r="A33" s="194"/>
      <c r="B33" s="171"/>
      <c r="D33" s="689"/>
      <c r="E33" s="222"/>
      <c r="F33" s="688"/>
      <c r="G33" s="168"/>
      <c r="H33" s="391"/>
      <c r="I33" s="546"/>
      <c r="J33" s="408"/>
      <c r="K33" s="548"/>
      <c r="L33" s="547"/>
      <c r="M33" s="547"/>
      <c r="N33" s="547"/>
      <c r="O33" s="213"/>
    </row>
    <row r="34" spans="1:15" ht="15.75" customHeight="1" x14ac:dyDescent="0.25">
      <c r="A34" s="194"/>
      <c r="B34" s="171"/>
      <c r="D34" s="689"/>
      <c r="E34" s="222"/>
      <c r="F34" s="688"/>
      <c r="G34" s="168"/>
      <c r="H34" s="391"/>
      <c r="I34" s="546"/>
      <c r="J34" s="408"/>
      <c r="K34" s="548"/>
      <c r="L34" s="547"/>
      <c r="M34" s="547"/>
      <c r="N34" s="547"/>
      <c r="O34" s="213"/>
    </row>
    <row r="35" spans="1:15" ht="15.75" customHeight="1" x14ac:dyDescent="0.25">
      <c r="A35" s="194"/>
      <c r="B35" s="171"/>
      <c r="E35" s="222"/>
      <c r="F35" s="402"/>
      <c r="G35" s="168"/>
      <c r="H35" s="391"/>
      <c r="I35" s="175"/>
      <c r="J35" s="408"/>
      <c r="K35" s="220"/>
      <c r="L35" s="216"/>
      <c r="M35" s="216"/>
      <c r="N35" s="216"/>
      <c r="O35" s="213"/>
    </row>
    <row r="36" spans="1:15" ht="15.75" customHeight="1" x14ac:dyDescent="0.25">
      <c r="A36" s="194"/>
      <c r="B36" s="171"/>
      <c r="E36" s="222"/>
      <c r="F36" s="402"/>
      <c r="G36" s="168"/>
      <c r="H36" s="391"/>
      <c r="I36" s="175"/>
      <c r="J36" s="408"/>
      <c r="K36" s="220"/>
      <c r="L36" s="216"/>
      <c r="M36" s="216"/>
      <c r="N36" s="216"/>
      <c r="O36" s="213"/>
    </row>
    <row r="37" spans="1:15" ht="15.75" customHeight="1" x14ac:dyDescent="0.25">
      <c r="A37" s="194"/>
      <c r="B37" s="171"/>
      <c r="E37" s="222"/>
      <c r="F37" s="402"/>
      <c r="G37" s="168"/>
      <c r="H37" s="391"/>
      <c r="I37" s="175"/>
      <c r="J37" s="408"/>
      <c r="K37" s="220"/>
      <c r="L37" s="216"/>
      <c r="M37" s="216"/>
      <c r="N37" s="216"/>
      <c r="O37" s="213"/>
    </row>
    <row r="38" spans="1:15" ht="15.75" customHeight="1" x14ac:dyDescent="0.25">
      <c r="A38" s="194"/>
      <c r="B38" s="171"/>
      <c r="E38" s="222"/>
      <c r="F38" s="402"/>
      <c r="G38" s="168"/>
      <c r="H38" s="391"/>
      <c r="I38" s="175"/>
      <c r="J38" s="408"/>
      <c r="K38" s="220"/>
      <c r="L38" s="216"/>
      <c r="M38" s="216"/>
      <c r="N38" s="216"/>
      <c r="O38" s="213"/>
    </row>
    <row r="39" spans="1:15" ht="15.75" customHeight="1" x14ac:dyDescent="0.25">
      <c r="A39" s="194"/>
      <c r="B39" s="171"/>
      <c r="E39" s="222"/>
      <c r="F39" s="402"/>
      <c r="G39" s="168"/>
      <c r="H39" s="391"/>
      <c r="I39" s="175"/>
      <c r="J39" s="408"/>
      <c r="K39" s="220"/>
      <c r="L39" s="216"/>
      <c r="M39" s="216"/>
      <c r="N39" s="216"/>
      <c r="O39" s="213"/>
    </row>
    <row r="40" spans="1:15" ht="15.75" customHeight="1" x14ac:dyDescent="0.25">
      <c r="A40" s="194"/>
      <c r="B40" s="171"/>
      <c r="E40" s="222"/>
      <c r="F40" s="402"/>
      <c r="G40" s="168"/>
      <c r="H40" s="391"/>
      <c r="I40" s="175"/>
      <c r="J40" s="408"/>
      <c r="K40" s="220"/>
      <c r="L40" s="216"/>
      <c r="M40" s="216"/>
      <c r="N40" s="216"/>
      <c r="O40" s="213"/>
    </row>
    <row r="41" spans="1:15" ht="15.75" customHeight="1" x14ac:dyDescent="0.25">
      <c r="A41" s="194"/>
      <c r="B41" s="171"/>
      <c r="E41" s="222"/>
      <c r="F41" s="402"/>
      <c r="G41" s="168"/>
      <c r="H41" s="391"/>
      <c r="I41" s="175"/>
      <c r="J41" s="408"/>
      <c r="K41" s="220"/>
      <c r="L41" s="216"/>
      <c r="M41" s="216"/>
      <c r="N41" s="216"/>
      <c r="O41" s="213"/>
    </row>
    <row r="42" spans="1:15" ht="15.75" customHeight="1" x14ac:dyDescent="0.25">
      <c r="A42" s="194"/>
      <c r="B42" s="171"/>
      <c r="E42" s="222"/>
      <c r="F42" s="402"/>
      <c r="G42" s="168"/>
      <c r="H42" s="391"/>
      <c r="I42" s="175"/>
      <c r="J42" s="408"/>
      <c r="K42" s="220"/>
      <c r="L42" s="216"/>
      <c r="M42" s="216"/>
      <c r="N42" s="216"/>
      <c r="O42" s="213"/>
    </row>
    <row r="43" spans="1:15" ht="15.75" customHeight="1" x14ac:dyDescent="0.25">
      <c r="A43" s="194"/>
      <c r="B43" s="171"/>
      <c r="E43" s="222"/>
      <c r="F43" s="402"/>
      <c r="G43" s="168"/>
      <c r="H43" s="391"/>
      <c r="I43" s="175"/>
      <c r="J43" s="408"/>
      <c r="K43" s="220"/>
      <c r="L43" s="216"/>
      <c r="M43" s="216"/>
      <c r="N43" s="216"/>
      <c r="O43" s="213"/>
    </row>
    <row r="44" spans="1:15" ht="15.75" customHeight="1" x14ac:dyDescent="0.25">
      <c r="A44" s="194"/>
      <c r="B44" s="171"/>
      <c r="E44" s="222"/>
      <c r="F44" s="402"/>
      <c r="G44" s="168"/>
      <c r="H44" s="391"/>
      <c r="I44" s="175"/>
      <c r="J44" s="200"/>
      <c r="K44" s="220"/>
      <c r="L44" s="216"/>
      <c r="M44" s="216"/>
      <c r="N44" s="216"/>
      <c r="O44" s="213"/>
    </row>
    <row r="45" spans="1:15" ht="15.75" customHeight="1" x14ac:dyDescent="0.25">
      <c r="A45" s="194"/>
      <c r="B45" s="171"/>
      <c r="D45" s="689"/>
      <c r="E45" s="222"/>
      <c r="F45" s="688"/>
      <c r="G45" s="168"/>
      <c r="H45" s="391"/>
      <c r="I45" s="546"/>
      <c r="J45" s="200"/>
      <c r="K45" s="548"/>
      <c r="L45" s="547"/>
      <c r="M45" s="547"/>
      <c r="N45" s="547"/>
      <c r="O45" s="213"/>
    </row>
    <row r="46" spans="1:15" ht="15.75" customHeight="1" x14ac:dyDescent="0.25">
      <c r="A46" s="194"/>
      <c r="B46" s="171"/>
      <c r="D46" s="689"/>
      <c r="E46" s="222"/>
      <c r="F46" s="688"/>
      <c r="G46" s="168"/>
      <c r="H46" s="391"/>
      <c r="I46" s="546"/>
      <c r="J46" s="200"/>
      <c r="K46" s="548"/>
      <c r="L46" s="547"/>
      <c r="M46" s="547"/>
      <c r="N46" s="547"/>
      <c r="O46" s="213"/>
    </row>
    <row r="47" spans="1:15" ht="15.75" customHeight="1" x14ac:dyDescent="0.25">
      <c r="A47" s="194"/>
      <c r="B47" s="171"/>
      <c r="D47" s="689"/>
      <c r="E47" s="222"/>
      <c r="F47" s="688"/>
      <c r="G47" s="168"/>
      <c r="H47" s="391"/>
      <c r="I47" s="546"/>
      <c r="J47" s="200"/>
      <c r="K47" s="548"/>
      <c r="L47" s="547"/>
      <c r="M47" s="547"/>
      <c r="N47" s="547"/>
      <c r="O47" s="213"/>
    </row>
    <row r="48" spans="1:15" ht="15.75" customHeight="1" x14ac:dyDescent="0.25">
      <c r="A48" s="194"/>
      <c r="B48" s="171"/>
      <c r="D48" s="689"/>
      <c r="E48" s="222"/>
      <c r="F48" s="688"/>
      <c r="G48" s="168"/>
      <c r="H48" s="391"/>
      <c r="I48" s="546"/>
      <c r="J48" s="200"/>
      <c r="K48" s="548"/>
      <c r="L48" s="547"/>
      <c r="M48" s="547"/>
      <c r="N48" s="547"/>
      <c r="O48" s="213"/>
    </row>
    <row r="49" spans="1:15" ht="15.75" customHeight="1" x14ac:dyDescent="0.25">
      <c r="A49" s="194"/>
      <c r="B49" s="171"/>
      <c r="D49" s="689"/>
      <c r="E49" s="222"/>
      <c r="F49" s="688"/>
      <c r="G49" s="168"/>
      <c r="H49" s="391"/>
      <c r="I49" s="546"/>
      <c r="J49" s="200"/>
      <c r="K49" s="548"/>
      <c r="L49" s="547"/>
      <c r="M49" s="547"/>
      <c r="N49" s="547"/>
      <c r="O49" s="213"/>
    </row>
    <row r="50" spans="1:15" ht="15.75" customHeight="1" x14ac:dyDescent="0.25">
      <c r="A50" s="194"/>
      <c r="B50" s="171"/>
      <c r="D50" s="689"/>
      <c r="E50" s="222"/>
      <c r="F50" s="688"/>
      <c r="G50" s="168"/>
      <c r="H50" s="391"/>
      <c r="I50" s="546"/>
      <c r="J50" s="200"/>
      <c r="K50" s="548"/>
      <c r="L50" s="547"/>
      <c r="M50" s="547"/>
      <c r="N50" s="547"/>
      <c r="O50" s="213"/>
    </row>
    <row r="51" spans="1:15" ht="15.75" customHeight="1" x14ac:dyDescent="0.25">
      <c r="A51" s="194"/>
      <c r="B51" s="171"/>
      <c r="D51" s="689"/>
      <c r="E51" s="222"/>
      <c r="F51" s="688"/>
      <c r="G51" s="168"/>
      <c r="H51" s="391"/>
      <c r="I51" s="546"/>
      <c r="J51" s="200"/>
      <c r="K51" s="548"/>
      <c r="L51" s="547"/>
      <c r="M51" s="547"/>
      <c r="N51" s="547"/>
      <c r="O51" s="213"/>
    </row>
    <row r="52" spans="1:15" ht="15.75" customHeight="1" x14ac:dyDescent="0.25">
      <c r="A52" s="194"/>
      <c r="B52" s="171"/>
      <c r="D52" s="689"/>
      <c r="E52" s="222"/>
      <c r="F52" s="688"/>
      <c r="G52" s="168"/>
      <c r="H52" s="391"/>
      <c r="I52" s="546"/>
      <c r="J52" s="200"/>
      <c r="K52" s="548"/>
      <c r="L52" s="547"/>
      <c r="M52" s="547"/>
      <c r="N52" s="547"/>
      <c r="O52" s="213"/>
    </row>
    <row r="53" spans="1:15" ht="15.75" customHeight="1" x14ac:dyDescent="0.25">
      <c r="A53" s="194"/>
      <c r="B53" s="171"/>
      <c r="D53" s="689"/>
      <c r="E53" s="222"/>
      <c r="F53" s="688"/>
      <c r="G53" s="168"/>
      <c r="H53" s="391"/>
      <c r="I53" s="546"/>
      <c r="J53" s="200"/>
      <c r="K53" s="548"/>
      <c r="L53" s="547"/>
      <c r="M53" s="547"/>
      <c r="N53" s="547"/>
      <c r="O53" s="213"/>
    </row>
    <row r="54" spans="1:15" ht="15.75" customHeight="1" x14ac:dyDescent="0.25">
      <c r="A54" s="194"/>
      <c r="B54" s="171"/>
      <c r="D54" s="689"/>
      <c r="E54" s="222"/>
      <c r="F54" s="688"/>
      <c r="G54" s="168"/>
      <c r="H54" s="391"/>
      <c r="I54" s="546"/>
      <c r="J54" s="200"/>
      <c r="K54" s="548"/>
      <c r="L54" s="547"/>
      <c r="M54" s="547"/>
      <c r="N54" s="547"/>
      <c r="O54" s="213"/>
    </row>
    <row r="55" spans="1:15" ht="15.75" customHeight="1" x14ac:dyDescent="0.25">
      <c r="A55" s="194"/>
      <c r="B55" s="171"/>
      <c r="D55" s="689"/>
      <c r="E55" s="222"/>
      <c r="F55" s="688"/>
      <c r="G55" s="168"/>
      <c r="H55" s="391"/>
      <c r="I55" s="546"/>
      <c r="J55" s="200"/>
      <c r="K55" s="548"/>
      <c r="L55" s="547"/>
      <c r="M55" s="547"/>
      <c r="N55" s="547"/>
      <c r="O55" s="213"/>
    </row>
    <row r="56" spans="1:15" ht="15.75" customHeight="1" x14ac:dyDescent="0.25">
      <c r="A56" s="194"/>
      <c r="B56" s="171"/>
      <c r="D56" s="689"/>
      <c r="E56" s="222"/>
      <c r="F56" s="688"/>
      <c r="G56" s="168"/>
      <c r="H56" s="391"/>
      <c r="I56" s="546"/>
      <c r="J56" s="200"/>
      <c r="K56" s="548"/>
      <c r="L56" s="547"/>
      <c r="M56" s="547"/>
      <c r="N56" s="547"/>
      <c r="O56" s="213"/>
    </row>
    <row r="57" spans="1:15" ht="15.75" customHeight="1" x14ac:dyDescent="0.25">
      <c r="A57" s="194"/>
      <c r="B57" s="171"/>
      <c r="D57" s="689"/>
      <c r="E57" s="222"/>
      <c r="F57" s="688"/>
      <c r="G57" s="168"/>
      <c r="H57" s="391"/>
      <c r="I57" s="546"/>
      <c r="J57" s="200"/>
      <c r="K57" s="548"/>
      <c r="L57" s="547"/>
      <c r="M57" s="547"/>
      <c r="N57" s="547"/>
      <c r="O57" s="213"/>
    </row>
    <row r="58" spans="1:15" ht="15.75" customHeight="1" x14ac:dyDescent="0.25">
      <c r="A58" s="194"/>
      <c r="B58" s="171"/>
      <c r="D58" s="689"/>
      <c r="E58" s="222"/>
      <c r="F58" s="688"/>
      <c r="G58" s="168"/>
      <c r="H58" s="391"/>
      <c r="I58" s="546"/>
      <c r="J58" s="200"/>
      <c r="K58" s="548"/>
      <c r="L58" s="547"/>
      <c r="M58" s="547"/>
      <c r="N58" s="547"/>
      <c r="O58" s="213"/>
    </row>
    <row r="59" spans="1:15" ht="15.75" customHeight="1" x14ac:dyDescent="0.25">
      <c r="A59" s="194"/>
      <c r="B59" s="171"/>
      <c r="D59" s="689"/>
      <c r="E59" s="222"/>
      <c r="F59" s="688"/>
      <c r="G59" s="168"/>
      <c r="H59" s="391"/>
      <c r="I59" s="546"/>
      <c r="J59" s="200"/>
      <c r="K59" s="548"/>
      <c r="L59" s="547"/>
      <c r="M59" s="547"/>
      <c r="N59" s="547"/>
      <c r="O59" s="213"/>
    </row>
    <row r="60" spans="1:15" ht="15.75" customHeight="1" x14ac:dyDescent="0.25">
      <c r="A60" s="194"/>
      <c r="B60" s="171"/>
      <c r="D60" s="689"/>
      <c r="E60" s="222"/>
      <c r="F60" s="688"/>
      <c r="G60" s="168"/>
      <c r="H60" s="391"/>
      <c r="I60" s="546"/>
      <c r="J60" s="200"/>
      <c r="K60" s="548"/>
      <c r="L60" s="547"/>
      <c r="M60" s="547"/>
      <c r="N60" s="547"/>
      <c r="O60" s="213"/>
    </row>
    <row r="61" spans="1:15" ht="15.75" customHeight="1" x14ac:dyDescent="0.25">
      <c r="A61" s="194"/>
      <c r="B61" s="171"/>
      <c r="D61" s="689"/>
      <c r="E61" s="222"/>
      <c r="F61" s="688"/>
      <c r="G61" s="168"/>
      <c r="H61" s="391"/>
      <c r="I61" s="546"/>
      <c r="J61" s="200"/>
      <c r="K61" s="548"/>
      <c r="L61" s="547"/>
      <c r="M61" s="547"/>
      <c r="N61" s="547"/>
      <c r="O61" s="213"/>
    </row>
    <row r="62" spans="1:15" ht="15.75" customHeight="1" x14ac:dyDescent="0.25">
      <c r="A62" s="194"/>
      <c r="B62" s="171"/>
      <c r="D62" s="172"/>
      <c r="E62" s="174"/>
      <c r="F62" s="694"/>
      <c r="G62" s="168"/>
      <c r="H62" s="391"/>
      <c r="I62" s="175"/>
      <c r="J62" s="200"/>
      <c r="K62" s="220"/>
      <c r="L62" s="216"/>
      <c r="M62" s="216"/>
      <c r="N62" s="216"/>
      <c r="O62" s="217"/>
    </row>
    <row r="63" spans="1:15" ht="15.75" customHeight="1" x14ac:dyDescent="0.25">
      <c r="A63" s="194"/>
      <c r="B63" s="171"/>
      <c r="E63" s="222"/>
      <c r="F63" s="402"/>
      <c r="G63" s="168"/>
      <c r="H63" s="391"/>
      <c r="I63" s="175"/>
      <c r="J63" s="200"/>
      <c r="K63" s="220"/>
      <c r="L63" s="216"/>
      <c r="M63" s="216"/>
      <c r="N63" s="216"/>
      <c r="O63" s="213"/>
    </row>
    <row r="64" spans="1:15" ht="15.75" customHeight="1" x14ac:dyDescent="0.25">
      <c r="A64" s="194"/>
      <c r="B64" s="171"/>
      <c r="D64" s="172"/>
      <c r="E64" s="174"/>
      <c r="F64" s="694"/>
      <c r="G64" s="168"/>
      <c r="H64" s="391"/>
      <c r="I64" s="175"/>
      <c r="J64" s="200"/>
      <c r="K64" s="220"/>
      <c r="L64" s="216"/>
      <c r="M64" s="216"/>
      <c r="N64" s="216"/>
      <c r="O64" s="217"/>
    </row>
    <row r="65" spans="1:15" ht="15.75" customHeight="1" x14ac:dyDescent="0.25">
      <c r="A65" s="194"/>
      <c r="B65" s="687"/>
      <c r="D65" s="689"/>
      <c r="E65" s="222"/>
      <c r="F65" s="222"/>
      <c r="G65" s="168"/>
      <c r="H65" s="391"/>
      <c r="I65" s="546"/>
      <c r="J65" s="200"/>
      <c r="K65" s="548"/>
      <c r="L65" s="547"/>
      <c r="M65" s="547"/>
      <c r="N65" s="547"/>
      <c r="O65" s="213"/>
    </row>
    <row r="66" spans="1:15" ht="15.75" customHeight="1" x14ac:dyDescent="0.25">
      <c r="A66" s="194"/>
      <c r="B66" s="687"/>
      <c r="D66" s="695"/>
      <c r="E66" s="222"/>
      <c r="F66" s="222"/>
      <c r="G66" s="168"/>
      <c r="H66" s="391"/>
      <c r="I66" s="559"/>
      <c r="J66" s="200"/>
      <c r="K66" s="548"/>
      <c r="L66" s="547"/>
      <c r="M66" s="547"/>
      <c r="N66" s="547"/>
      <c r="O66" s="213"/>
    </row>
    <row r="67" spans="1:15" ht="15.75" customHeight="1" x14ac:dyDescent="0.25">
      <c r="A67" s="194"/>
      <c r="B67" s="687"/>
      <c r="D67" s="689"/>
      <c r="E67" s="222"/>
      <c r="F67" s="688"/>
      <c r="G67" s="168"/>
      <c r="H67" s="391"/>
      <c r="I67" s="546"/>
      <c r="J67" s="200"/>
      <c r="K67" s="548"/>
      <c r="L67" s="547"/>
      <c r="M67" s="547"/>
      <c r="N67" s="547"/>
      <c r="O67" s="213"/>
    </row>
    <row r="68" spans="1:15" ht="15.75" customHeight="1" x14ac:dyDescent="0.25">
      <c r="A68" s="194"/>
      <c r="B68" s="687"/>
      <c r="D68" s="695"/>
      <c r="E68" s="222"/>
      <c r="F68" s="688"/>
      <c r="G68" s="168"/>
      <c r="H68" s="391"/>
      <c r="I68" s="559"/>
      <c r="J68" s="200"/>
      <c r="K68" s="548"/>
      <c r="L68" s="547"/>
      <c r="M68" s="547"/>
      <c r="N68" s="547"/>
      <c r="O68" s="213"/>
    </row>
    <row r="69" spans="1:15" ht="15.75" customHeight="1" x14ac:dyDescent="0.25">
      <c r="A69" s="194"/>
      <c r="B69" s="171"/>
      <c r="E69" s="174"/>
      <c r="F69" s="403"/>
      <c r="G69" s="168"/>
      <c r="H69" s="391"/>
      <c r="I69" s="175"/>
      <c r="J69" s="200"/>
      <c r="K69" s="220"/>
      <c r="L69" s="216"/>
      <c r="M69" s="216"/>
      <c r="N69" s="216"/>
      <c r="O69" s="213"/>
    </row>
    <row r="70" spans="1:15" ht="15.75" customHeight="1" x14ac:dyDescent="0.25">
      <c r="A70" s="194"/>
      <c r="B70" s="171"/>
      <c r="D70" s="689"/>
      <c r="E70" s="222"/>
      <c r="F70" s="688"/>
      <c r="G70" s="168"/>
      <c r="H70" s="391"/>
      <c r="I70" s="546"/>
      <c r="J70" s="200"/>
      <c r="K70" s="548"/>
      <c r="L70" s="547"/>
      <c r="M70" s="547"/>
      <c r="N70" s="547"/>
      <c r="O70" s="213"/>
    </row>
    <row r="71" spans="1:15" ht="24" customHeight="1" x14ac:dyDescent="0.25">
      <c r="A71" s="194"/>
      <c r="B71" s="171"/>
      <c r="C71" s="174"/>
      <c r="D71" s="689"/>
      <c r="E71" s="222"/>
      <c r="F71" s="688"/>
      <c r="G71" s="168"/>
      <c r="H71" s="391"/>
      <c r="I71" s="546"/>
      <c r="J71" s="200"/>
      <c r="K71" s="548"/>
      <c r="L71" s="547"/>
      <c r="M71" s="547"/>
      <c r="N71" s="547"/>
      <c r="O71" s="213"/>
    </row>
    <row r="72" spans="1:15" ht="24" customHeight="1" x14ac:dyDescent="0.25">
      <c r="A72" s="194"/>
      <c r="B72" s="171"/>
      <c r="C72" s="174"/>
      <c r="D72" s="689"/>
      <c r="E72" s="222"/>
      <c r="F72" s="688"/>
      <c r="G72" s="168"/>
      <c r="H72" s="391"/>
      <c r="I72" s="546"/>
      <c r="J72" s="200"/>
      <c r="K72" s="547"/>
      <c r="L72" s="547"/>
      <c r="M72" s="547"/>
      <c r="N72" s="547"/>
      <c r="O72" s="213"/>
    </row>
    <row r="73" spans="1:15" ht="24" customHeight="1" x14ac:dyDescent="0.25">
      <c r="A73" s="194"/>
      <c r="B73" s="171"/>
      <c r="C73" s="174"/>
      <c r="D73" s="689"/>
      <c r="E73" s="222"/>
      <c r="F73" s="688"/>
      <c r="G73" s="168"/>
      <c r="H73" s="391"/>
      <c r="I73" s="546"/>
      <c r="J73" s="200"/>
      <c r="K73" s="547"/>
      <c r="L73" s="547"/>
      <c r="M73" s="547"/>
      <c r="N73" s="547"/>
      <c r="O73" s="213"/>
    </row>
    <row r="74" spans="1:15" ht="24" customHeight="1" x14ac:dyDescent="0.25">
      <c r="A74" s="194"/>
      <c r="B74" s="171"/>
      <c r="C74" s="174"/>
      <c r="D74" s="689"/>
      <c r="E74" s="222"/>
      <c r="F74" s="688"/>
      <c r="G74" s="168"/>
      <c r="H74" s="391"/>
      <c r="I74" s="546"/>
      <c r="J74" s="200"/>
      <c r="K74" s="547"/>
      <c r="L74" s="547"/>
      <c r="M74" s="547"/>
      <c r="N74" s="547"/>
      <c r="O74" s="213"/>
    </row>
    <row r="75" spans="1:15" ht="11.25" x14ac:dyDescent="0.25">
      <c r="A75" s="194"/>
      <c r="B75" s="171"/>
      <c r="C75" s="174"/>
      <c r="D75" s="689"/>
      <c r="E75" s="222"/>
      <c r="F75" s="688"/>
      <c r="G75" s="168"/>
      <c r="H75" s="391"/>
      <c r="I75" s="546"/>
      <c r="J75" s="200"/>
      <c r="K75" s="547"/>
      <c r="L75" s="547"/>
      <c r="M75" s="547"/>
      <c r="N75" s="547"/>
      <c r="O75" s="213"/>
    </row>
    <row r="76" spans="1:15" ht="15.75" customHeight="1" x14ac:dyDescent="0.25">
      <c r="A76" s="194"/>
      <c r="B76" s="171"/>
      <c r="C76" s="174"/>
      <c r="D76" s="689"/>
      <c r="E76" s="222"/>
      <c r="F76" s="688"/>
      <c r="G76" s="168"/>
      <c r="H76" s="391"/>
      <c r="I76" s="546"/>
      <c r="J76" s="200"/>
      <c r="K76" s="547"/>
      <c r="L76" s="547"/>
      <c r="M76" s="547"/>
      <c r="N76" s="547"/>
      <c r="O76" s="213"/>
    </row>
    <row r="77" spans="1:15" ht="15.75" customHeight="1" x14ac:dyDescent="0.25">
      <c r="A77" s="194"/>
      <c r="B77" s="171"/>
      <c r="C77" s="174"/>
      <c r="D77" s="689"/>
      <c r="E77" s="222"/>
      <c r="F77" s="688"/>
      <c r="G77" s="168"/>
      <c r="H77" s="391"/>
      <c r="I77" s="546"/>
      <c r="J77" s="200"/>
      <c r="K77" s="547"/>
      <c r="L77" s="547"/>
      <c r="M77" s="547"/>
      <c r="N77" s="547"/>
      <c r="O77" s="213"/>
    </row>
    <row r="78" spans="1:15" ht="15.75" customHeight="1" x14ac:dyDescent="0.25">
      <c r="A78" s="194"/>
      <c r="B78" s="171"/>
      <c r="C78" s="174"/>
      <c r="D78" s="689"/>
      <c r="E78" s="222"/>
      <c r="F78" s="688"/>
      <c r="G78" s="168"/>
      <c r="H78" s="391"/>
      <c r="I78" s="546"/>
      <c r="J78" s="200"/>
      <c r="K78" s="547"/>
      <c r="L78" s="547"/>
      <c r="M78" s="547"/>
      <c r="N78" s="547"/>
      <c r="O78" s="213"/>
    </row>
    <row r="79" spans="1:15" ht="15.75" customHeight="1" x14ac:dyDescent="0.25">
      <c r="A79" s="194"/>
      <c r="B79" s="171"/>
      <c r="C79" s="174"/>
      <c r="D79" s="689"/>
      <c r="E79" s="222"/>
      <c r="F79" s="688"/>
      <c r="G79" s="168"/>
      <c r="H79" s="391"/>
      <c r="I79" s="546"/>
      <c r="J79" s="200"/>
      <c r="K79" s="547"/>
      <c r="L79" s="547"/>
      <c r="M79" s="547"/>
      <c r="N79" s="547"/>
      <c r="O79" s="213"/>
    </row>
    <row r="80" spans="1:15" ht="15.75" customHeight="1" x14ac:dyDescent="0.25">
      <c r="A80" s="194"/>
      <c r="B80" s="171"/>
      <c r="C80" s="174"/>
      <c r="D80" s="689"/>
      <c r="E80" s="222"/>
      <c r="F80" s="688"/>
      <c r="G80" s="168"/>
      <c r="H80" s="391"/>
      <c r="I80" s="546"/>
      <c r="J80" s="200"/>
      <c r="K80" s="547"/>
      <c r="L80" s="547"/>
      <c r="M80" s="547"/>
      <c r="N80" s="547"/>
      <c r="O80" s="213"/>
    </row>
    <row r="81" spans="1:15" ht="15.75" customHeight="1" x14ac:dyDescent="0.25">
      <c r="A81" s="194"/>
      <c r="B81" s="171"/>
      <c r="C81" s="174"/>
      <c r="E81" s="222"/>
      <c r="F81" s="402"/>
      <c r="G81" s="168"/>
      <c r="H81" s="391"/>
      <c r="I81" s="175"/>
      <c r="J81" s="200"/>
      <c r="K81" s="216"/>
      <c r="L81" s="216"/>
      <c r="M81" s="216"/>
      <c r="N81" s="216"/>
      <c r="O81" s="213"/>
    </row>
    <row r="82" spans="1:15" ht="15.75" customHeight="1" x14ac:dyDescent="0.25">
      <c r="A82" s="194"/>
      <c r="B82" s="171"/>
      <c r="C82" s="174"/>
      <c r="E82" s="222"/>
      <c r="F82" s="402"/>
      <c r="G82" s="168"/>
      <c r="H82" s="391"/>
      <c r="I82" s="175"/>
      <c r="J82" s="200"/>
      <c r="K82" s="216"/>
      <c r="L82" s="216"/>
      <c r="M82" s="216"/>
      <c r="N82" s="216"/>
      <c r="O82" s="213"/>
    </row>
    <row r="83" spans="1:15" ht="15.75" customHeight="1" x14ac:dyDescent="0.25">
      <c r="A83" s="194"/>
      <c r="B83" s="171"/>
      <c r="C83" s="174"/>
      <c r="E83" s="222"/>
      <c r="F83" s="403"/>
      <c r="G83" s="168"/>
      <c r="H83" s="391"/>
      <c r="I83" s="175"/>
      <c r="J83" s="200"/>
      <c r="K83" s="216"/>
      <c r="L83" s="216"/>
      <c r="M83" s="216"/>
      <c r="N83" s="216"/>
      <c r="O83" s="213"/>
    </row>
    <row r="84" spans="1:15" ht="15.75" customHeight="1" x14ac:dyDescent="0.25">
      <c r="A84" s="194"/>
      <c r="B84" s="171"/>
      <c r="C84" s="174"/>
      <c r="E84" s="222"/>
      <c r="F84" s="403"/>
      <c r="G84" s="168"/>
      <c r="H84" s="391"/>
      <c r="I84" s="175"/>
      <c r="J84" s="200"/>
      <c r="K84" s="216"/>
      <c r="L84" s="216"/>
      <c r="M84" s="216"/>
      <c r="N84" s="216"/>
      <c r="O84" s="213"/>
    </row>
    <row r="85" spans="1:15" ht="15.75" customHeight="1" x14ac:dyDescent="0.25">
      <c r="A85" s="194"/>
      <c r="B85" s="171"/>
      <c r="C85" s="174"/>
      <c r="E85" s="222"/>
      <c r="F85" s="403"/>
      <c r="G85" s="168"/>
      <c r="H85" s="391"/>
      <c r="I85" s="175"/>
      <c r="J85" s="200"/>
      <c r="K85" s="216"/>
      <c r="L85" s="216"/>
      <c r="M85" s="216"/>
      <c r="N85" s="216"/>
      <c r="O85" s="213"/>
    </row>
    <row r="86" spans="1:15" ht="15.75" customHeight="1" x14ac:dyDescent="0.25">
      <c r="A86" s="194"/>
      <c r="B86" s="407"/>
      <c r="C86" s="174"/>
      <c r="D86" s="13"/>
      <c r="E86" s="222"/>
      <c r="F86" s="403"/>
      <c r="G86" s="169"/>
      <c r="H86" s="391"/>
      <c r="I86" s="175"/>
      <c r="J86" s="200"/>
      <c r="K86" s="547"/>
      <c r="L86" s="216"/>
      <c r="M86" s="216"/>
      <c r="N86" s="216"/>
      <c r="O86" s="213"/>
    </row>
    <row r="87" spans="1:15" ht="15.75" customHeight="1" x14ac:dyDescent="0.25">
      <c r="A87" s="194"/>
      <c r="B87" s="171"/>
      <c r="C87" s="174"/>
      <c r="D87" s="689"/>
      <c r="E87" s="222"/>
      <c r="F87" s="688"/>
      <c r="G87" s="168"/>
      <c r="H87" s="391"/>
      <c r="I87" s="546"/>
      <c r="J87" s="200"/>
      <c r="K87" s="547"/>
      <c r="L87" s="547"/>
      <c r="M87" s="547"/>
      <c r="N87" s="547"/>
      <c r="O87" s="213"/>
    </row>
    <row r="88" spans="1:15" ht="15.75" customHeight="1" x14ac:dyDescent="0.25">
      <c r="A88" s="194"/>
      <c r="B88" s="171"/>
      <c r="C88" s="174"/>
      <c r="D88" s="689"/>
      <c r="E88" s="222"/>
      <c r="F88" s="688"/>
      <c r="G88" s="168"/>
      <c r="H88" s="391"/>
      <c r="I88" s="546"/>
      <c r="J88" s="200"/>
      <c r="K88" s="547"/>
      <c r="L88" s="547"/>
      <c r="M88" s="547"/>
      <c r="N88" s="547"/>
      <c r="O88" s="213"/>
    </row>
    <row r="89" spans="1:15" ht="15.75" customHeight="1" x14ac:dyDescent="0.25">
      <c r="A89" s="194"/>
      <c r="B89" s="171"/>
      <c r="C89" s="174"/>
      <c r="D89" s="689"/>
      <c r="E89" s="222"/>
      <c r="F89" s="688"/>
      <c r="G89" s="168"/>
      <c r="H89" s="391"/>
      <c r="I89" s="546"/>
      <c r="J89" s="200"/>
      <c r="K89" s="547"/>
      <c r="L89" s="547"/>
      <c r="M89" s="547"/>
      <c r="N89" s="547"/>
      <c r="O89" s="213"/>
    </row>
    <row r="90" spans="1:15" ht="15.75" customHeight="1" x14ac:dyDescent="0.25">
      <c r="A90" s="194"/>
      <c r="B90" s="171"/>
      <c r="C90" s="174"/>
      <c r="D90" s="689"/>
      <c r="E90" s="222"/>
      <c r="F90" s="688"/>
      <c r="G90" s="168"/>
      <c r="H90" s="391"/>
      <c r="I90" s="546"/>
      <c r="J90" s="200"/>
      <c r="K90" s="547"/>
      <c r="L90" s="547"/>
      <c r="M90" s="547"/>
      <c r="N90" s="547"/>
      <c r="O90" s="213"/>
    </row>
    <row r="91" spans="1:15" ht="15.75" customHeight="1" x14ac:dyDescent="0.25">
      <c r="A91" s="194"/>
      <c r="B91" s="171"/>
      <c r="C91" s="174"/>
      <c r="D91" s="689"/>
      <c r="E91" s="222"/>
      <c r="F91" s="688"/>
      <c r="G91" s="168"/>
      <c r="H91" s="391"/>
      <c r="I91" s="546"/>
      <c r="J91" s="200"/>
      <c r="K91" s="547"/>
      <c r="L91" s="547"/>
      <c r="M91" s="547"/>
      <c r="N91" s="547"/>
      <c r="O91" s="213"/>
    </row>
    <row r="92" spans="1:15" ht="15.75" customHeight="1" x14ac:dyDescent="0.25">
      <c r="A92" s="194"/>
      <c r="B92" s="171"/>
      <c r="C92" s="174"/>
      <c r="E92" s="222"/>
      <c r="F92" s="403"/>
      <c r="G92" s="168"/>
      <c r="H92" s="391"/>
      <c r="I92" s="175"/>
      <c r="J92" s="200"/>
      <c r="K92" s="216"/>
      <c r="L92" s="216"/>
      <c r="M92" s="216"/>
      <c r="N92" s="216"/>
      <c r="O92" s="213"/>
    </row>
    <row r="93" spans="1:15" ht="15.75" customHeight="1" x14ac:dyDescent="0.25">
      <c r="A93" s="194"/>
      <c r="B93" s="171"/>
      <c r="C93" s="174"/>
      <c r="E93" s="222"/>
      <c r="F93" s="403"/>
      <c r="G93" s="168"/>
      <c r="H93" s="391"/>
      <c r="I93" s="175"/>
      <c r="J93" s="200"/>
      <c r="K93" s="216"/>
      <c r="L93" s="216"/>
      <c r="M93" s="216"/>
      <c r="N93" s="216"/>
      <c r="O93" s="213"/>
    </row>
    <row r="94" spans="1:15" ht="15.75" customHeight="1" x14ac:dyDescent="0.25">
      <c r="A94" s="194"/>
      <c r="B94" s="171"/>
      <c r="C94" s="174"/>
      <c r="E94" s="222"/>
      <c r="F94" s="403"/>
      <c r="G94" s="168"/>
      <c r="H94" s="391"/>
      <c r="I94" s="175"/>
      <c r="J94" s="200"/>
      <c r="K94" s="216"/>
      <c r="L94" s="216"/>
      <c r="M94" s="216"/>
      <c r="N94" s="216"/>
      <c r="O94" s="213"/>
    </row>
    <row r="95" spans="1:15" ht="15.75" customHeight="1" x14ac:dyDescent="0.25">
      <c r="A95" s="194"/>
      <c r="B95" s="687"/>
      <c r="C95" s="174"/>
      <c r="D95" s="695"/>
      <c r="E95" s="222"/>
      <c r="F95" s="688"/>
      <c r="G95" s="168"/>
      <c r="H95" s="391"/>
      <c r="I95" s="559"/>
      <c r="J95" s="200"/>
      <c r="K95" s="547"/>
      <c r="L95" s="560"/>
      <c r="M95" s="560"/>
      <c r="N95" s="560"/>
      <c r="O95" s="213"/>
    </row>
    <row r="96" spans="1:15" ht="15.75" customHeight="1" x14ac:dyDescent="0.25">
      <c r="A96" s="194"/>
      <c r="B96" s="687"/>
      <c r="C96" s="174"/>
      <c r="D96" s="689"/>
      <c r="E96" s="222"/>
      <c r="F96" s="688"/>
      <c r="G96" s="168"/>
      <c r="H96" s="391"/>
      <c r="I96" s="546"/>
      <c r="J96" s="200"/>
      <c r="K96" s="547"/>
      <c r="L96" s="547"/>
      <c r="M96" s="547"/>
      <c r="N96" s="547"/>
      <c r="O96" s="213"/>
    </row>
    <row r="97" spans="1:15" ht="15.75" customHeight="1" x14ac:dyDescent="0.25">
      <c r="A97" s="194"/>
      <c r="B97" s="407"/>
      <c r="C97" s="174"/>
      <c r="D97" s="13"/>
      <c r="E97" s="222"/>
      <c r="F97" s="403"/>
      <c r="G97" s="169"/>
      <c r="H97" s="391"/>
      <c r="I97" s="175"/>
      <c r="J97" s="200"/>
      <c r="K97" s="216"/>
      <c r="L97" s="216"/>
      <c r="M97" s="216"/>
      <c r="N97" s="216"/>
      <c r="O97" s="213"/>
    </row>
    <row r="98" spans="1:15" ht="15.75" customHeight="1" x14ac:dyDescent="0.25">
      <c r="A98" s="194"/>
      <c r="B98" s="407"/>
      <c r="C98" s="174"/>
      <c r="D98" s="13"/>
      <c r="E98" s="222"/>
      <c r="F98" s="403"/>
      <c r="G98" s="169"/>
      <c r="H98" s="391"/>
      <c r="I98" s="175"/>
      <c r="J98" s="200"/>
      <c r="K98" s="216"/>
      <c r="L98" s="216"/>
      <c r="M98" s="216"/>
      <c r="N98" s="216"/>
      <c r="O98" s="213"/>
    </row>
    <row r="99" spans="1:15" ht="15.75" customHeight="1" x14ac:dyDescent="0.25">
      <c r="A99" s="194"/>
      <c r="B99" s="171"/>
      <c r="C99" s="174"/>
      <c r="E99" s="174"/>
      <c r="F99" s="403"/>
      <c r="G99" s="168"/>
      <c r="H99" s="391"/>
      <c r="I99" s="175"/>
      <c r="J99" s="200"/>
      <c r="K99" s="216"/>
      <c r="L99" s="216"/>
      <c r="M99" s="216"/>
      <c r="N99" s="216"/>
      <c r="O99" s="213"/>
    </row>
    <row r="100" spans="1:15" ht="15.75" customHeight="1" x14ac:dyDescent="0.25">
      <c r="A100" s="194"/>
      <c r="B100" s="171"/>
      <c r="C100" s="174"/>
      <c r="E100" s="174"/>
      <c r="F100" s="402"/>
      <c r="G100" s="168"/>
      <c r="H100" s="391"/>
      <c r="I100" s="175"/>
      <c r="J100" s="200"/>
      <c r="K100" s="216"/>
      <c r="L100" s="216"/>
      <c r="M100" s="216"/>
      <c r="N100" s="216"/>
      <c r="O100" s="217"/>
    </row>
    <row r="101" spans="1:15" ht="15.75" customHeight="1" x14ac:dyDescent="0.25">
      <c r="A101" s="194"/>
      <c r="B101" s="171"/>
      <c r="C101" s="174"/>
      <c r="D101" s="689"/>
      <c r="E101" s="222"/>
      <c r="F101" s="688"/>
      <c r="G101" s="168"/>
      <c r="H101" s="391"/>
      <c r="I101" s="546"/>
      <c r="J101" s="200"/>
      <c r="K101" s="216"/>
      <c r="L101" s="547"/>
      <c r="M101" s="547"/>
      <c r="N101" s="547"/>
      <c r="O101" s="213"/>
    </row>
    <row r="102" spans="1:15" ht="15.75" customHeight="1" x14ac:dyDescent="0.25">
      <c r="A102" s="194"/>
      <c r="B102" s="171"/>
      <c r="C102" s="403"/>
      <c r="D102" s="13"/>
      <c r="E102" s="222"/>
      <c r="F102" s="403"/>
      <c r="G102" s="169"/>
      <c r="H102" s="391"/>
      <c r="I102" s="175"/>
      <c r="J102" s="200"/>
      <c r="K102" s="216"/>
      <c r="L102" s="216"/>
      <c r="M102" s="216"/>
      <c r="N102" s="216"/>
      <c r="O102" s="213"/>
    </row>
    <row r="103" spans="1:15" ht="15.75" customHeight="1" x14ac:dyDescent="0.25">
      <c r="A103" s="194"/>
      <c r="B103" s="171"/>
      <c r="C103" s="174"/>
      <c r="E103" s="222"/>
      <c r="F103" s="402"/>
      <c r="G103" s="168"/>
      <c r="H103" s="391"/>
      <c r="I103" s="175"/>
      <c r="J103" s="200"/>
      <c r="K103" s="216"/>
      <c r="L103" s="216"/>
      <c r="M103" s="216"/>
      <c r="N103" s="216"/>
      <c r="O103" s="213"/>
    </row>
    <row r="104" spans="1:15" ht="15.75" customHeight="1" x14ac:dyDescent="0.25">
      <c r="A104" s="194"/>
      <c r="B104" s="171"/>
      <c r="C104" s="174"/>
      <c r="E104" s="222"/>
      <c r="F104" s="403"/>
      <c r="G104" s="168"/>
      <c r="H104" s="391"/>
      <c r="I104" s="175"/>
      <c r="J104" s="200"/>
      <c r="K104" s="216"/>
      <c r="L104" s="216"/>
      <c r="M104" s="216"/>
      <c r="N104" s="216"/>
      <c r="O104" s="213"/>
    </row>
    <row r="105" spans="1:15" ht="15.75" customHeight="1" x14ac:dyDescent="0.25">
      <c r="A105" s="194"/>
      <c r="B105" s="171"/>
      <c r="C105" s="174"/>
      <c r="E105" s="222"/>
      <c r="F105" s="403"/>
      <c r="G105" s="168"/>
      <c r="H105" s="391"/>
      <c r="I105" s="175"/>
      <c r="J105" s="200"/>
      <c r="K105" s="216"/>
      <c r="L105" s="216"/>
      <c r="M105" s="216"/>
      <c r="N105" s="216"/>
      <c r="O105" s="213"/>
    </row>
    <row r="106" spans="1:15" ht="15.75" customHeight="1" x14ac:dyDescent="0.25">
      <c r="A106" s="194"/>
      <c r="B106" s="171"/>
      <c r="C106" s="174"/>
      <c r="E106" s="222"/>
      <c r="F106" s="403"/>
      <c r="G106" s="168"/>
      <c r="H106" s="391"/>
      <c r="I106" s="175"/>
      <c r="J106" s="200"/>
      <c r="K106" s="216"/>
      <c r="L106" s="216"/>
      <c r="M106" s="216"/>
      <c r="N106" s="216"/>
      <c r="O106" s="213"/>
    </row>
    <row r="107" spans="1:15" ht="15.75" customHeight="1" x14ac:dyDescent="0.25">
      <c r="A107" s="194"/>
      <c r="B107" s="171"/>
      <c r="C107" s="174"/>
      <c r="E107" s="222"/>
      <c r="F107" s="403"/>
      <c r="G107" s="168"/>
      <c r="H107" s="391"/>
      <c r="I107" s="175"/>
      <c r="J107" s="200"/>
      <c r="K107" s="216"/>
      <c r="L107" s="216"/>
      <c r="M107" s="216"/>
      <c r="N107" s="216"/>
      <c r="O107" s="213"/>
    </row>
    <row r="108" spans="1:15" ht="15.75" customHeight="1" x14ac:dyDescent="0.25">
      <c r="A108" s="194"/>
      <c r="B108" s="171"/>
      <c r="C108" s="174"/>
      <c r="D108" s="689"/>
      <c r="E108" s="222"/>
      <c r="F108" s="688"/>
      <c r="G108" s="168"/>
      <c r="H108" s="391"/>
      <c r="I108" s="546"/>
      <c r="J108" s="200"/>
      <c r="K108" s="547"/>
      <c r="L108" s="547"/>
      <c r="M108" s="547"/>
      <c r="N108" s="547"/>
      <c r="O108" s="213"/>
    </row>
    <row r="109" spans="1:15" ht="15.75" customHeight="1" x14ac:dyDescent="0.25">
      <c r="A109" s="194"/>
      <c r="B109" s="171"/>
      <c r="C109" s="174"/>
      <c r="E109" s="222"/>
      <c r="F109" s="402"/>
      <c r="G109" s="168"/>
      <c r="H109" s="391"/>
      <c r="I109" s="175"/>
      <c r="J109" s="200"/>
      <c r="K109" s="216"/>
      <c r="L109" s="216"/>
      <c r="M109" s="216"/>
      <c r="N109" s="216"/>
      <c r="O109" s="213"/>
    </row>
    <row r="110" spans="1:15" ht="15.75" customHeight="1" x14ac:dyDescent="0.25">
      <c r="A110" s="194"/>
      <c r="B110" s="171"/>
      <c r="C110" s="174"/>
      <c r="E110" s="222"/>
      <c r="F110" s="402"/>
      <c r="G110" s="168"/>
      <c r="H110" s="391"/>
      <c r="I110" s="175"/>
      <c r="J110" s="200"/>
      <c r="K110" s="216"/>
      <c r="L110" s="216"/>
      <c r="M110" s="216"/>
      <c r="N110" s="216"/>
      <c r="O110" s="213"/>
    </row>
    <row r="111" spans="1:15" ht="15.75" customHeight="1" x14ac:dyDescent="0.25">
      <c r="A111" s="194"/>
      <c r="B111" s="171"/>
      <c r="C111" s="174"/>
      <c r="E111" s="174"/>
      <c r="F111" s="402"/>
      <c r="G111" s="168"/>
      <c r="H111" s="391"/>
      <c r="I111" s="175"/>
      <c r="J111" s="200"/>
      <c r="K111" s="547"/>
      <c r="L111" s="216"/>
      <c r="M111" s="216"/>
      <c r="N111" s="216"/>
      <c r="O111" s="213"/>
    </row>
    <row r="112" spans="1:15" ht="15.75" customHeight="1" x14ac:dyDescent="0.25">
      <c r="A112" s="194"/>
      <c r="B112" s="171"/>
      <c r="C112" s="174"/>
      <c r="D112" s="689"/>
      <c r="E112" s="222"/>
      <c r="F112" s="688"/>
      <c r="G112" s="168"/>
      <c r="H112" s="391"/>
      <c r="I112" s="546"/>
      <c r="J112" s="200"/>
      <c r="K112" s="547"/>
      <c r="L112" s="547"/>
      <c r="M112" s="547"/>
      <c r="N112" s="547"/>
      <c r="O112" s="213"/>
    </row>
    <row r="113" spans="1:15" ht="15.75" customHeight="1" x14ac:dyDescent="0.25">
      <c r="A113" s="194"/>
      <c r="B113" s="171"/>
      <c r="C113" s="174"/>
      <c r="E113" s="174"/>
      <c r="F113" s="403"/>
      <c r="G113" s="168"/>
      <c r="H113" s="391"/>
      <c r="I113" s="175"/>
      <c r="J113" s="200"/>
      <c r="K113" s="216"/>
      <c r="L113" s="216"/>
      <c r="M113" s="216"/>
      <c r="N113" s="216"/>
      <c r="O113" s="217"/>
    </row>
    <row r="114" spans="1:15" ht="15.75" customHeight="1" x14ac:dyDescent="0.25">
      <c r="A114" s="194"/>
      <c r="B114" s="171"/>
      <c r="C114" s="174"/>
      <c r="E114" s="174"/>
      <c r="F114" s="403"/>
      <c r="G114" s="168"/>
      <c r="H114" s="391"/>
      <c r="I114" s="175"/>
      <c r="J114" s="200"/>
      <c r="K114" s="216"/>
      <c r="L114" s="216"/>
      <c r="M114" s="216"/>
      <c r="N114" s="216"/>
      <c r="O114" s="213"/>
    </row>
    <row r="115" spans="1:15" ht="15.75" customHeight="1" x14ac:dyDescent="0.25">
      <c r="A115" s="194"/>
      <c r="B115" s="171"/>
      <c r="C115" s="403"/>
      <c r="D115" s="13"/>
      <c r="E115" s="222"/>
      <c r="F115" s="403"/>
      <c r="G115" s="169"/>
      <c r="H115" s="391"/>
      <c r="I115" s="175"/>
      <c r="J115" s="200"/>
      <c r="K115" s="216"/>
      <c r="L115" s="216"/>
      <c r="M115" s="216"/>
      <c r="N115" s="216"/>
      <c r="O115" s="213"/>
    </row>
    <row r="116" spans="1:15" ht="15.75" customHeight="1" x14ac:dyDescent="0.25">
      <c r="A116" s="194"/>
      <c r="B116" s="171"/>
      <c r="C116" s="174"/>
      <c r="D116" s="689"/>
      <c r="E116" s="222"/>
      <c r="F116" s="688"/>
      <c r="G116" s="168"/>
      <c r="H116" s="391"/>
      <c r="I116" s="546"/>
      <c r="J116" s="200"/>
      <c r="K116" s="216"/>
      <c r="L116" s="547"/>
      <c r="M116" s="547"/>
      <c r="N116" s="547"/>
      <c r="O116" s="213"/>
    </row>
    <row r="117" spans="1:15" ht="15.75" customHeight="1" x14ac:dyDescent="0.25">
      <c r="A117" s="194"/>
      <c r="B117" s="171"/>
      <c r="C117" s="403"/>
      <c r="D117" s="13"/>
      <c r="E117" s="222"/>
      <c r="F117" s="403"/>
      <c r="G117" s="169"/>
      <c r="H117" s="391"/>
      <c r="I117" s="175"/>
      <c r="J117" s="200"/>
      <c r="K117" s="216"/>
      <c r="L117" s="216"/>
      <c r="M117" s="216"/>
      <c r="N117" s="216"/>
      <c r="O117" s="213"/>
    </row>
    <row r="118" spans="1:15" ht="15.75" customHeight="1" x14ac:dyDescent="0.25">
      <c r="A118" s="194"/>
      <c r="B118" s="171"/>
      <c r="C118" s="174"/>
      <c r="D118" s="577"/>
      <c r="E118" s="578"/>
      <c r="F118" s="403"/>
      <c r="G118" s="168"/>
      <c r="H118" s="391"/>
      <c r="I118" s="580"/>
      <c r="J118" s="200"/>
      <c r="K118" s="582"/>
      <c r="L118" s="582"/>
      <c r="M118" s="582"/>
      <c r="N118" s="582"/>
      <c r="O118" s="213"/>
    </row>
    <row r="119" spans="1:15" ht="15.75" customHeight="1" x14ac:dyDescent="0.25">
      <c r="A119" s="194"/>
      <c r="B119" s="171"/>
      <c r="C119" s="174"/>
      <c r="D119" s="577"/>
      <c r="E119" s="578"/>
      <c r="F119" s="403"/>
      <c r="G119" s="168"/>
      <c r="H119" s="391"/>
      <c r="I119" s="580"/>
      <c r="J119" s="200"/>
      <c r="K119" s="582"/>
      <c r="L119" s="582"/>
      <c r="M119" s="582"/>
      <c r="N119" s="582"/>
      <c r="O119" s="213"/>
    </row>
    <row r="120" spans="1:15" ht="15.75" customHeight="1" x14ac:dyDescent="0.25">
      <c r="A120" s="194"/>
      <c r="B120" s="171"/>
      <c r="C120" s="174"/>
      <c r="D120" s="577"/>
      <c r="E120" s="578"/>
      <c r="F120" s="403"/>
      <c r="G120" s="168"/>
      <c r="H120" s="391"/>
      <c r="I120" s="580"/>
      <c r="J120" s="200"/>
      <c r="K120" s="582"/>
      <c r="L120" s="582"/>
      <c r="M120" s="582"/>
      <c r="N120" s="582"/>
      <c r="O120" s="213"/>
    </row>
    <row r="121" spans="1:15" ht="15.75" customHeight="1" x14ac:dyDescent="0.25">
      <c r="A121" s="194"/>
      <c r="B121" s="171"/>
      <c r="C121" s="174"/>
      <c r="D121" s="577"/>
      <c r="E121" s="578"/>
      <c r="F121" s="403"/>
      <c r="G121" s="168"/>
      <c r="H121" s="391"/>
      <c r="I121" s="580"/>
      <c r="J121" s="200"/>
      <c r="K121" s="582"/>
      <c r="L121" s="582"/>
      <c r="M121" s="582"/>
      <c r="N121" s="582"/>
      <c r="O121" s="213"/>
    </row>
    <row r="122" spans="1:15" ht="15.75" customHeight="1" x14ac:dyDescent="0.25">
      <c r="A122" s="194"/>
      <c r="B122" s="171"/>
      <c r="C122" s="174"/>
      <c r="D122" s="577"/>
      <c r="E122" s="578"/>
      <c r="F122" s="403"/>
      <c r="G122" s="168"/>
      <c r="H122" s="391"/>
      <c r="I122" s="580"/>
      <c r="J122" s="200"/>
      <c r="K122" s="582"/>
      <c r="L122" s="582"/>
      <c r="M122" s="582"/>
      <c r="N122" s="582"/>
      <c r="O122" s="583"/>
    </row>
    <row r="123" spans="1:15" ht="11.25" x14ac:dyDescent="0.25">
      <c r="A123" s="194"/>
      <c r="B123" s="171"/>
      <c r="C123" s="174"/>
      <c r="D123" s="577"/>
      <c r="E123" s="578"/>
      <c r="F123" s="403"/>
      <c r="G123" s="168"/>
      <c r="H123" s="391"/>
      <c r="I123" s="580"/>
      <c r="J123" s="200"/>
      <c r="K123" s="582"/>
      <c r="L123" s="582"/>
      <c r="M123" s="582"/>
      <c r="N123" s="582"/>
      <c r="O123" s="583"/>
    </row>
    <row r="124" spans="1:15" ht="11.25" x14ac:dyDescent="0.25">
      <c r="A124" s="194"/>
      <c r="B124" s="171"/>
      <c r="C124" s="174"/>
      <c r="D124" s="577"/>
      <c r="E124" s="578"/>
      <c r="F124" s="403"/>
      <c r="G124" s="168"/>
      <c r="H124" s="391"/>
      <c r="I124" s="580"/>
      <c r="J124" s="200"/>
      <c r="K124" s="582"/>
      <c r="L124" s="582"/>
      <c r="M124" s="582"/>
      <c r="N124" s="582"/>
      <c r="O124" s="583"/>
    </row>
    <row r="125" spans="1:15" ht="15.75" customHeight="1" x14ac:dyDescent="0.25">
      <c r="A125" s="194"/>
      <c r="B125" s="171"/>
      <c r="C125" s="174"/>
      <c r="D125" s="577"/>
      <c r="E125" s="578"/>
      <c r="F125" s="403"/>
      <c r="G125" s="168"/>
      <c r="H125" s="391"/>
      <c r="I125" s="580"/>
      <c r="J125" s="200"/>
      <c r="K125" s="582"/>
      <c r="L125" s="582"/>
      <c r="M125" s="582"/>
      <c r="N125" s="582"/>
      <c r="O125" s="213"/>
    </row>
    <row r="126" spans="1:15" ht="15.75" customHeight="1" x14ac:dyDescent="0.25">
      <c r="A126" s="194"/>
      <c r="B126" s="171"/>
      <c r="C126" s="174"/>
      <c r="D126" s="577"/>
      <c r="E126" s="578"/>
      <c r="F126" s="403"/>
      <c r="G126" s="168"/>
      <c r="H126" s="391"/>
      <c r="I126" s="580"/>
      <c r="J126" s="200"/>
      <c r="K126" s="582"/>
      <c r="L126" s="582"/>
      <c r="M126" s="582"/>
      <c r="N126" s="582"/>
      <c r="O126" s="213"/>
    </row>
    <row r="127" spans="1:15" ht="15.75" customHeight="1" x14ac:dyDescent="0.25">
      <c r="A127" s="194"/>
      <c r="B127" s="171"/>
      <c r="C127" s="174"/>
      <c r="D127" s="577"/>
      <c r="E127" s="578"/>
      <c r="F127" s="403"/>
      <c r="G127" s="168"/>
      <c r="H127" s="391"/>
      <c r="I127" s="580"/>
      <c r="J127" s="200"/>
      <c r="K127" s="582"/>
      <c r="L127" s="582"/>
      <c r="M127" s="582"/>
      <c r="N127" s="582"/>
      <c r="O127" s="213"/>
    </row>
    <row r="128" spans="1:15" ht="15.75" customHeight="1" x14ac:dyDescent="0.25">
      <c r="A128" s="194"/>
      <c r="B128" s="171"/>
      <c r="C128" s="174"/>
      <c r="D128" s="577"/>
      <c r="E128" s="578"/>
      <c r="F128" s="403"/>
      <c r="G128" s="168"/>
      <c r="H128" s="391"/>
      <c r="I128" s="580"/>
      <c r="J128" s="200"/>
      <c r="K128" s="582"/>
      <c r="L128" s="582"/>
      <c r="M128" s="582"/>
      <c r="N128" s="582"/>
      <c r="O128" s="213"/>
    </row>
    <row r="129" spans="1:15" ht="15.75" customHeight="1" x14ac:dyDescent="0.25">
      <c r="A129" s="194"/>
      <c r="B129" s="171"/>
      <c r="C129" s="174"/>
      <c r="D129" s="577"/>
      <c r="E129" s="578"/>
      <c r="F129" s="403"/>
      <c r="G129" s="168"/>
      <c r="H129" s="391"/>
      <c r="I129" s="580"/>
      <c r="J129" s="200"/>
      <c r="K129" s="582"/>
      <c r="L129" s="582"/>
      <c r="M129" s="582"/>
      <c r="N129" s="582"/>
      <c r="O129" s="213"/>
    </row>
    <row r="130" spans="1:15" ht="15.75" customHeight="1" x14ac:dyDescent="0.25">
      <c r="A130" s="194"/>
      <c r="B130" s="171"/>
      <c r="C130" s="174"/>
      <c r="D130" s="577"/>
      <c r="E130" s="578"/>
      <c r="F130" s="403"/>
      <c r="G130" s="168"/>
      <c r="H130" s="391"/>
      <c r="I130" s="580"/>
      <c r="J130" s="200"/>
      <c r="K130" s="582"/>
      <c r="L130" s="582"/>
      <c r="M130" s="582"/>
      <c r="N130" s="582"/>
      <c r="O130" s="213"/>
    </row>
    <row r="131" spans="1:15" ht="15.75" customHeight="1" x14ac:dyDescent="0.25">
      <c r="A131" s="194"/>
      <c r="B131" s="171"/>
      <c r="C131" s="174"/>
      <c r="D131" s="577"/>
      <c r="E131" s="578"/>
      <c r="F131" s="403"/>
      <c r="G131" s="168"/>
      <c r="H131" s="391"/>
      <c r="I131" s="580"/>
      <c r="J131" s="200"/>
      <c r="K131" s="582"/>
      <c r="L131" s="582"/>
      <c r="M131" s="582"/>
      <c r="N131" s="582"/>
      <c r="O131" s="213"/>
    </row>
    <row r="132" spans="1:15" ht="15.75" customHeight="1" x14ac:dyDescent="0.25">
      <c r="A132" s="194"/>
      <c r="B132" s="171"/>
      <c r="C132" s="174"/>
      <c r="D132" s="577"/>
      <c r="E132" s="578"/>
      <c r="F132" s="403"/>
      <c r="G132" s="168"/>
      <c r="H132" s="391"/>
      <c r="I132" s="580"/>
      <c r="J132" s="200"/>
      <c r="K132" s="582"/>
      <c r="L132" s="582"/>
      <c r="M132" s="582"/>
      <c r="N132" s="582"/>
      <c r="O132" s="213"/>
    </row>
    <row r="133" spans="1:15" ht="15.75" customHeight="1" x14ac:dyDescent="0.25">
      <c r="A133" s="194"/>
      <c r="B133" s="171"/>
      <c r="C133" s="174"/>
      <c r="D133" s="577"/>
      <c r="E133" s="578"/>
      <c r="F133" s="403"/>
      <c r="G133" s="168"/>
      <c r="H133" s="391"/>
      <c r="I133" s="580"/>
      <c r="J133" s="200"/>
      <c r="K133" s="582"/>
      <c r="L133" s="582"/>
      <c r="M133" s="582"/>
      <c r="N133" s="582"/>
      <c r="O133" s="213"/>
    </row>
    <row r="134" spans="1:15" ht="15.75" customHeight="1" x14ac:dyDescent="0.25">
      <c r="A134" s="589"/>
      <c r="B134" s="590"/>
      <c r="C134" s="174"/>
      <c r="D134" s="592"/>
      <c r="E134" s="593"/>
      <c r="F134" s="403"/>
      <c r="G134" s="168"/>
      <c r="H134" s="391"/>
      <c r="I134" s="595"/>
      <c r="J134" s="200"/>
      <c r="K134" s="597"/>
      <c r="L134" s="597"/>
      <c r="M134" s="597"/>
      <c r="N134" s="597"/>
      <c r="O134" s="213"/>
    </row>
    <row r="135" spans="1:15" ht="15.75" customHeight="1" x14ac:dyDescent="0.25">
      <c r="A135" s="589"/>
      <c r="B135" s="590"/>
      <c r="C135" s="174"/>
      <c r="D135" s="592"/>
      <c r="E135" s="593"/>
      <c r="F135" s="403"/>
      <c r="G135" s="168"/>
      <c r="H135" s="391"/>
      <c r="I135" s="595"/>
      <c r="J135" s="200"/>
      <c r="K135" s="597"/>
      <c r="L135" s="597"/>
      <c r="M135" s="597"/>
      <c r="N135" s="597"/>
      <c r="O135" s="213"/>
    </row>
    <row r="136" spans="1:15" ht="15.75" customHeight="1" x14ac:dyDescent="0.25">
      <c r="A136" s="589"/>
      <c r="B136" s="590"/>
      <c r="C136" s="174"/>
      <c r="D136" s="592"/>
      <c r="E136" s="593"/>
      <c r="F136" s="403"/>
      <c r="G136" s="168"/>
      <c r="H136" s="391"/>
      <c r="I136" s="595"/>
      <c r="J136" s="200"/>
      <c r="K136" s="597"/>
      <c r="L136" s="597"/>
      <c r="M136" s="597"/>
      <c r="N136" s="597"/>
      <c r="O136" s="213"/>
    </row>
    <row r="137" spans="1:15" ht="15.75" customHeight="1" x14ac:dyDescent="0.25">
      <c r="A137" s="194"/>
      <c r="B137" s="171"/>
      <c r="C137" s="403"/>
      <c r="D137" s="13"/>
      <c r="E137" s="222"/>
      <c r="F137" s="403"/>
      <c r="G137" s="169"/>
      <c r="H137" s="391"/>
      <c r="I137" s="175"/>
      <c r="J137" s="565"/>
      <c r="K137" s="216"/>
      <c r="L137" s="216"/>
      <c r="M137" s="216"/>
      <c r="N137" s="216"/>
      <c r="O137" s="213"/>
    </row>
    <row r="138" spans="1:15" ht="15.75" customHeight="1" x14ac:dyDescent="0.25">
      <c r="A138" s="194"/>
      <c r="B138" s="171"/>
      <c r="C138" s="174"/>
      <c r="D138" s="172"/>
      <c r="E138" s="174"/>
      <c r="F138" s="403"/>
      <c r="G138" s="168"/>
      <c r="H138" s="391"/>
      <c r="I138" s="175"/>
      <c r="J138" s="565"/>
      <c r="K138" s="216"/>
      <c r="L138" s="218"/>
      <c r="M138" s="218"/>
      <c r="N138" s="218"/>
      <c r="O138" s="217"/>
    </row>
    <row r="139" spans="1:15" ht="15.75" customHeight="1" x14ac:dyDescent="0.25">
      <c r="A139" s="194"/>
      <c r="B139" s="171"/>
      <c r="C139" s="174"/>
      <c r="E139" s="222"/>
      <c r="F139" s="403"/>
      <c r="G139" s="168"/>
      <c r="H139" s="391"/>
      <c r="I139" s="175"/>
      <c r="J139" s="565"/>
      <c r="K139" s="216"/>
      <c r="L139" s="216"/>
      <c r="M139" s="216"/>
      <c r="N139" s="216"/>
      <c r="O139" s="213"/>
    </row>
    <row r="140" spans="1:15" ht="15.75" customHeight="1" x14ac:dyDescent="0.25">
      <c r="A140" s="194"/>
      <c r="B140" s="171"/>
      <c r="C140" s="174"/>
      <c r="E140" s="222"/>
      <c r="F140" s="403"/>
      <c r="G140" s="168"/>
      <c r="H140" s="391"/>
      <c r="I140" s="175"/>
      <c r="J140" s="565"/>
      <c r="K140" s="216"/>
      <c r="L140" s="216"/>
      <c r="M140" s="216"/>
      <c r="N140" s="216"/>
      <c r="O140" s="213"/>
    </row>
    <row r="141" spans="1:15" ht="15.75" customHeight="1" x14ac:dyDescent="0.25">
      <c r="A141" s="194"/>
      <c r="B141" s="171"/>
      <c r="C141" s="174"/>
      <c r="E141" s="222"/>
      <c r="F141" s="403"/>
      <c r="G141" s="168"/>
      <c r="H141" s="391"/>
      <c r="I141" s="175"/>
      <c r="J141" s="565"/>
      <c r="K141" s="216"/>
      <c r="L141" s="216"/>
      <c r="M141" s="216"/>
      <c r="N141" s="216"/>
      <c r="O141" s="213"/>
    </row>
    <row r="142" spans="1:15" ht="15.75" customHeight="1" x14ac:dyDescent="0.25">
      <c r="A142" s="194"/>
      <c r="B142" s="171"/>
      <c r="C142" s="174"/>
      <c r="E142" s="222"/>
      <c r="F142" s="403"/>
      <c r="G142" s="168"/>
      <c r="H142" s="391"/>
      <c r="I142" s="175"/>
      <c r="J142" s="565"/>
      <c r="K142" s="216"/>
      <c r="L142" s="216"/>
      <c r="M142" s="216"/>
      <c r="N142" s="216"/>
      <c r="O142" s="213"/>
    </row>
    <row r="143" spans="1:15" ht="15.75" customHeight="1" x14ac:dyDescent="0.25">
      <c r="A143" s="194"/>
      <c r="B143" s="171"/>
      <c r="C143" s="174"/>
      <c r="E143" s="222"/>
      <c r="F143" s="403"/>
      <c r="G143" s="168"/>
      <c r="H143" s="391"/>
      <c r="I143" s="175"/>
      <c r="J143" s="565"/>
      <c r="K143" s="216"/>
      <c r="L143" s="216"/>
      <c r="M143" s="216"/>
      <c r="N143" s="216"/>
      <c r="O143" s="213"/>
    </row>
    <row r="144" spans="1:15" ht="15.75" customHeight="1" x14ac:dyDescent="0.25">
      <c r="A144" s="194"/>
      <c r="B144" s="171"/>
      <c r="C144" s="174"/>
      <c r="E144" s="222"/>
      <c r="F144" s="403"/>
      <c r="G144" s="168"/>
      <c r="H144" s="391"/>
      <c r="I144" s="175"/>
      <c r="J144" s="565"/>
      <c r="K144" s="216"/>
      <c r="L144" s="216"/>
      <c r="M144" s="216"/>
      <c r="N144" s="216"/>
      <c r="O144" s="213"/>
    </row>
    <row r="145" spans="1:15" ht="15.75" customHeight="1" x14ac:dyDescent="0.25">
      <c r="A145" s="194"/>
      <c r="B145" s="171"/>
      <c r="C145" s="174"/>
      <c r="E145" s="222"/>
      <c r="F145" s="403"/>
      <c r="G145" s="168"/>
      <c r="H145" s="391"/>
      <c r="I145" s="175"/>
      <c r="J145" s="565"/>
      <c r="K145" s="216"/>
      <c r="L145" s="216"/>
      <c r="M145" s="216"/>
      <c r="N145" s="216"/>
      <c r="O145" s="213"/>
    </row>
    <row r="146" spans="1:15" ht="15.75" customHeight="1" x14ac:dyDescent="0.25">
      <c r="A146" s="194"/>
      <c r="B146" s="171"/>
      <c r="C146" s="174"/>
      <c r="E146" s="222"/>
      <c r="F146" s="403"/>
      <c r="G146" s="168"/>
      <c r="H146" s="391"/>
      <c r="I146" s="175"/>
      <c r="J146" s="565"/>
      <c r="K146" s="216"/>
      <c r="L146" s="216"/>
      <c r="M146" s="216"/>
      <c r="N146" s="216"/>
      <c r="O146" s="213"/>
    </row>
    <row r="147" spans="1:15" ht="15.75" customHeight="1" x14ac:dyDescent="0.25">
      <c r="A147" s="194"/>
      <c r="B147" s="171"/>
      <c r="C147" s="174"/>
      <c r="E147" s="222"/>
      <c r="F147" s="403"/>
      <c r="G147" s="168"/>
      <c r="H147" s="391"/>
      <c r="I147" s="175"/>
      <c r="J147" s="565"/>
      <c r="K147" s="216"/>
      <c r="L147" s="216"/>
      <c r="M147" s="216"/>
      <c r="N147" s="216"/>
      <c r="O147" s="213"/>
    </row>
    <row r="148" spans="1:15" ht="15.75" customHeight="1" x14ac:dyDescent="0.25">
      <c r="A148" s="194"/>
      <c r="B148" s="171"/>
      <c r="C148" s="174"/>
      <c r="E148" s="222"/>
      <c r="F148" s="688"/>
      <c r="G148" s="168"/>
      <c r="H148" s="391"/>
      <c r="I148" s="175"/>
      <c r="J148" s="565"/>
      <c r="K148" s="216"/>
      <c r="L148" s="216"/>
      <c r="M148" s="216"/>
      <c r="N148" s="216"/>
      <c r="O148" s="213"/>
    </row>
    <row r="149" spans="1:15" ht="15.75" customHeight="1" x14ac:dyDescent="0.25">
      <c r="A149" s="194"/>
      <c r="B149" s="171"/>
      <c r="C149" s="174"/>
      <c r="E149" s="222"/>
      <c r="F149" s="403"/>
      <c r="G149" s="168"/>
      <c r="H149" s="391"/>
      <c r="I149" s="175"/>
      <c r="J149" s="565"/>
      <c r="K149" s="216"/>
      <c r="L149" s="216"/>
      <c r="M149" s="216"/>
      <c r="N149" s="216"/>
      <c r="O149" s="213"/>
    </row>
    <row r="150" spans="1:15" ht="15.75" customHeight="1" x14ac:dyDescent="0.25">
      <c r="A150" s="194"/>
      <c r="B150" s="407"/>
      <c r="C150" s="174"/>
      <c r="E150" s="222"/>
      <c r="F150" s="403"/>
      <c r="G150" s="169"/>
      <c r="H150" s="391"/>
      <c r="I150" s="175"/>
      <c r="J150" s="565"/>
      <c r="K150" s="547"/>
      <c r="L150" s="216"/>
      <c r="M150" s="216"/>
      <c r="N150" s="216"/>
      <c r="O150" s="213"/>
    </row>
    <row r="151" spans="1:15" ht="15.75" customHeight="1" x14ac:dyDescent="0.25">
      <c r="A151" s="194"/>
      <c r="B151" s="171"/>
      <c r="C151" s="174"/>
      <c r="E151" s="174"/>
      <c r="F151" s="402"/>
      <c r="G151" s="168"/>
      <c r="H151" s="391"/>
      <c r="I151" s="175"/>
      <c r="J151" s="565"/>
      <c r="K151" s="216"/>
      <c r="L151" s="216"/>
      <c r="M151" s="216"/>
      <c r="N151" s="216"/>
      <c r="O151" s="213"/>
    </row>
    <row r="152" spans="1:15" ht="15.75" customHeight="1" x14ac:dyDescent="0.25">
      <c r="A152" s="194"/>
      <c r="B152" s="171"/>
      <c r="C152" s="174"/>
      <c r="E152" s="222"/>
      <c r="F152" s="688"/>
      <c r="G152" s="168"/>
      <c r="H152" s="391"/>
      <c r="I152" s="175"/>
      <c r="J152" s="565"/>
      <c r="K152" s="216"/>
      <c r="L152" s="216"/>
      <c r="M152" s="216"/>
      <c r="N152" s="216"/>
      <c r="O152" s="213"/>
    </row>
    <row r="153" spans="1:15" ht="15.75" customHeight="1" x14ac:dyDescent="0.25">
      <c r="A153" s="194"/>
      <c r="B153" s="171"/>
      <c r="C153" s="174"/>
      <c r="D153" s="168"/>
      <c r="E153" s="222"/>
      <c r="F153" s="688"/>
      <c r="G153" s="168"/>
      <c r="H153" s="391"/>
      <c r="I153" s="175"/>
      <c r="J153" s="565"/>
      <c r="K153" s="216"/>
      <c r="L153" s="216"/>
      <c r="M153" s="216"/>
      <c r="N153" s="216"/>
      <c r="O153" s="213"/>
    </row>
    <row r="154" spans="1:15" ht="15.75" customHeight="1" x14ac:dyDescent="0.25">
      <c r="A154" s="194"/>
      <c r="B154" s="171"/>
      <c r="C154" s="174"/>
      <c r="D154" s="168"/>
      <c r="E154" s="222"/>
      <c r="F154" s="688"/>
      <c r="G154" s="168"/>
      <c r="H154" s="391"/>
      <c r="I154" s="175"/>
      <c r="J154" s="565"/>
      <c r="K154" s="216"/>
      <c r="L154" s="216"/>
      <c r="M154" s="216"/>
      <c r="N154" s="216"/>
      <c r="O154" s="213"/>
    </row>
    <row r="155" spans="1:15" ht="15.75" customHeight="1" x14ac:dyDescent="0.25">
      <c r="A155" s="194"/>
      <c r="B155" s="171"/>
      <c r="C155" s="174"/>
      <c r="D155" s="209"/>
      <c r="E155" s="222"/>
      <c r="F155" s="563"/>
      <c r="G155" s="168"/>
      <c r="H155" s="392"/>
      <c r="I155" s="210"/>
      <c r="J155" s="565"/>
      <c r="K155" s="216"/>
      <c r="L155" s="220"/>
      <c r="M155" s="220"/>
      <c r="N155" s="220"/>
      <c r="O155" s="213"/>
    </row>
    <row r="156" spans="1:15" ht="15.75" customHeight="1" x14ac:dyDescent="0.25">
      <c r="A156" s="194"/>
      <c r="B156" s="171"/>
      <c r="C156" s="174"/>
      <c r="D156" s="577"/>
      <c r="E156" s="578"/>
      <c r="F156" s="403"/>
      <c r="G156" s="168"/>
      <c r="H156" s="391"/>
      <c r="I156" s="580"/>
      <c r="J156" s="565"/>
      <c r="K156" s="582"/>
      <c r="L156" s="582"/>
      <c r="M156" s="582"/>
      <c r="N156" s="582"/>
      <c r="O156" s="213"/>
    </row>
    <row r="157" spans="1:15" ht="15.75" customHeight="1" x14ac:dyDescent="0.25">
      <c r="A157" s="194"/>
      <c r="B157" s="171"/>
      <c r="C157" s="174"/>
      <c r="D157" s="577"/>
      <c r="E157" s="578"/>
      <c r="F157" s="403"/>
      <c r="G157" s="168"/>
      <c r="H157" s="391"/>
      <c r="I157" s="580"/>
      <c r="J157" s="565"/>
      <c r="K157" s="582"/>
      <c r="L157" s="582"/>
      <c r="M157" s="582"/>
      <c r="N157" s="582"/>
      <c r="O157" s="213"/>
    </row>
    <row r="158" spans="1:15" ht="15.75" customHeight="1" x14ac:dyDescent="0.25">
      <c r="A158" s="194"/>
      <c r="B158" s="171"/>
      <c r="C158" s="174"/>
      <c r="D158" s="577"/>
      <c r="E158" s="578"/>
      <c r="F158" s="403"/>
      <c r="G158" s="168"/>
      <c r="H158" s="391"/>
      <c r="I158" s="580"/>
      <c r="J158" s="565"/>
      <c r="K158" s="582"/>
      <c r="L158" s="582"/>
      <c r="M158" s="582"/>
      <c r="N158" s="582"/>
      <c r="O158" s="213"/>
    </row>
    <row r="159" spans="1:15" ht="15.75" customHeight="1" x14ac:dyDescent="0.25">
      <c r="A159" s="194"/>
      <c r="B159" s="171"/>
      <c r="C159" s="174"/>
      <c r="D159" s="577"/>
      <c r="E159" s="578"/>
      <c r="F159" s="403"/>
      <c r="G159" s="168"/>
      <c r="H159" s="391"/>
      <c r="I159" s="580"/>
      <c r="J159" s="565"/>
      <c r="K159" s="582"/>
      <c r="L159" s="582"/>
      <c r="M159" s="582"/>
      <c r="N159" s="582"/>
      <c r="O159" s="213"/>
    </row>
    <row r="160" spans="1:15" ht="15.75" customHeight="1" x14ac:dyDescent="0.25">
      <c r="A160" s="194"/>
      <c r="B160" s="171"/>
      <c r="C160" s="174"/>
      <c r="D160" s="577"/>
      <c r="E160" s="578"/>
      <c r="F160" s="403"/>
      <c r="G160" s="168"/>
      <c r="H160" s="391"/>
      <c r="I160" s="580"/>
      <c r="J160" s="565"/>
      <c r="K160" s="582"/>
      <c r="L160" s="582"/>
      <c r="M160" s="582"/>
      <c r="N160" s="582"/>
      <c r="O160" s="213"/>
    </row>
    <row r="161" spans="1:15" ht="15.75" customHeight="1" x14ac:dyDescent="0.25">
      <c r="A161" s="194"/>
      <c r="B161" s="171"/>
      <c r="C161" s="174"/>
      <c r="D161" s="577"/>
      <c r="E161" s="578"/>
      <c r="F161" s="403"/>
      <c r="G161" s="168"/>
      <c r="H161" s="391"/>
      <c r="I161" s="580"/>
      <c r="J161" s="565"/>
      <c r="K161" s="582"/>
      <c r="L161" s="582"/>
      <c r="M161" s="582"/>
      <c r="N161" s="582"/>
      <c r="O161" s="213"/>
    </row>
    <row r="162" spans="1:15" ht="15.75" customHeight="1" x14ac:dyDescent="0.25">
      <c r="A162" s="194"/>
      <c r="B162" s="171"/>
      <c r="C162" s="174"/>
      <c r="D162" s="577"/>
      <c r="E162" s="578"/>
      <c r="F162" s="403"/>
      <c r="G162" s="168"/>
      <c r="H162" s="391"/>
      <c r="I162" s="580"/>
      <c r="J162" s="565"/>
      <c r="K162" s="582"/>
      <c r="L162" s="582"/>
      <c r="M162" s="582"/>
      <c r="N162" s="582"/>
      <c r="O162" s="213"/>
    </row>
    <row r="163" spans="1:15" ht="15.75" customHeight="1" x14ac:dyDescent="0.25">
      <c r="A163" s="194"/>
      <c r="B163" s="171"/>
      <c r="C163" s="174"/>
      <c r="D163" s="577"/>
      <c r="E163" s="578"/>
      <c r="F163" s="403"/>
      <c r="G163" s="168"/>
      <c r="H163" s="391"/>
      <c r="I163" s="580"/>
      <c r="J163" s="565"/>
      <c r="K163" s="582"/>
      <c r="L163" s="582"/>
      <c r="M163" s="582"/>
      <c r="N163" s="582"/>
      <c r="O163" s="213"/>
    </row>
    <row r="164" spans="1:15" ht="15.75" customHeight="1" x14ac:dyDescent="0.25">
      <c r="A164" s="194"/>
      <c r="B164" s="171"/>
      <c r="C164" s="174"/>
      <c r="D164" s="577"/>
      <c r="E164" s="578"/>
      <c r="F164" s="403"/>
      <c r="G164" s="168"/>
      <c r="H164" s="391"/>
      <c r="I164" s="580"/>
      <c r="J164" s="565"/>
      <c r="K164" s="582"/>
      <c r="L164" s="582"/>
      <c r="M164" s="582"/>
      <c r="N164" s="582"/>
      <c r="O164" s="213"/>
    </row>
    <row r="165" spans="1:15" ht="15.75" customHeight="1" x14ac:dyDescent="0.25">
      <c r="A165" s="194"/>
      <c r="B165" s="171"/>
      <c r="C165" s="174"/>
      <c r="D165" s="577"/>
      <c r="E165" s="578"/>
      <c r="F165" s="403"/>
      <c r="G165" s="168"/>
      <c r="H165" s="391"/>
      <c r="I165" s="580"/>
      <c r="J165" s="565"/>
      <c r="K165" s="582"/>
      <c r="L165" s="582"/>
      <c r="M165" s="582"/>
      <c r="N165" s="582"/>
      <c r="O165" s="213"/>
    </row>
    <row r="166" spans="1:15" ht="15.75" customHeight="1" x14ac:dyDescent="0.25">
      <c r="A166" s="194"/>
      <c r="B166" s="171"/>
      <c r="C166" s="174"/>
      <c r="D166" s="577"/>
      <c r="E166" s="578"/>
      <c r="F166" s="403"/>
      <c r="G166" s="168"/>
      <c r="H166" s="391"/>
      <c r="I166" s="580"/>
      <c r="J166" s="565"/>
      <c r="K166" s="582"/>
      <c r="L166" s="582"/>
      <c r="M166" s="582"/>
      <c r="N166" s="582"/>
      <c r="O166" s="213"/>
    </row>
    <row r="167" spans="1:15" ht="15.75" customHeight="1" x14ac:dyDescent="0.25">
      <c r="A167" s="194"/>
      <c r="B167" s="171"/>
      <c r="C167" s="174"/>
      <c r="D167" s="577"/>
      <c r="E167" s="578"/>
      <c r="F167" s="403"/>
      <c r="G167" s="168"/>
      <c r="H167" s="391"/>
      <c r="I167" s="580"/>
      <c r="J167" s="565"/>
      <c r="K167" s="582"/>
      <c r="L167" s="582"/>
      <c r="M167" s="582"/>
      <c r="N167" s="582"/>
      <c r="O167" s="213"/>
    </row>
    <row r="168" spans="1:15" ht="15.75" customHeight="1" x14ac:dyDescent="0.25">
      <c r="A168" s="194"/>
      <c r="B168" s="171"/>
      <c r="C168" s="174"/>
      <c r="D168" s="577"/>
      <c r="E168" s="578"/>
      <c r="F168" s="403"/>
      <c r="G168" s="168"/>
      <c r="H168" s="391"/>
      <c r="I168" s="580"/>
      <c r="J168" s="565"/>
      <c r="K168" s="582"/>
      <c r="L168" s="582"/>
      <c r="M168" s="582"/>
      <c r="N168" s="582"/>
      <c r="O168" s="213"/>
    </row>
    <row r="169" spans="1:15" ht="15.75" customHeight="1" x14ac:dyDescent="0.25">
      <c r="A169" s="194"/>
      <c r="B169" s="171"/>
      <c r="C169" s="174"/>
      <c r="D169" s="577"/>
      <c r="E169" s="578"/>
      <c r="F169" s="403"/>
      <c r="G169" s="168"/>
      <c r="H169" s="391"/>
      <c r="I169" s="580"/>
      <c r="J169" s="565"/>
      <c r="K169" s="582"/>
      <c r="L169" s="582"/>
      <c r="M169" s="582"/>
      <c r="N169" s="582"/>
      <c r="O169" s="583"/>
    </row>
    <row r="170" spans="1:15" ht="15.75" customHeight="1" x14ac:dyDescent="0.25">
      <c r="A170" s="194"/>
      <c r="B170" s="171"/>
      <c r="C170" s="174"/>
      <c r="E170" s="222"/>
      <c r="F170" s="403"/>
      <c r="G170" s="168"/>
      <c r="H170" s="391"/>
      <c r="I170" s="175"/>
      <c r="J170" s="200"/>
      <c r="K170" s="216"/>
      <c r="L170" s="216"/>
      <c r="M170" s="216"/>
      <c r="N170" s="216"/>
      <c r="O170" s="213"/>
    </row>
    <row r="171" spans="1:15" ht="15.75" customHeight="1" x14ac:dyDescent="0.25">
      <c r="A171" s="194"/>
      <c r="B171" s="171"/>
      <c r="C171" s="174"/>
      <c r="E171" s="222"/>
      <c r="F171" s="403"/>
      <c r="G171" s="168"/>
      <c r="H171" s="391"/>
      <c r="I171" s="175"/>
      <c r="J171" s="200"/>
      <c r="K171" s="216"/>
      <c r="L171" s="216"/>
      <c r="M171" s="216"/>
      <c r="N171" s="216"/>
      <c r="O171" s="213"/>
    </row>
    <row r="172" spans="1:15" ht="15.75" customHeight="1" x14ac:dyDescent="0.25">
      <c r="A172" s="194"/>
      <c r="B172" s="171"/>
      <c r="C172" s="174"/>
      <c r="E172" s="222"/>
      <c r="F172" s="403"/>
      <c r="G172" s="168"/>
      <c r="H172" s="391"/>
      <c r="I172" s="175"/>
      <c r="J172" s="200"/>
      <c r="K172" s="216"/>
      <c r="L172" s="216"/>
      <c r="M172" s="216"/>
      <c r="N172" s="216"/>
      <c r="O172" s="213"/>
    </row>
    <row r="173" spans="1:15" ht="15.75" customHeight="1" x14ac:dyDescent="0.25">
      <c r="A173" s="194"/>
      <c r="B173" s="171"/>
      <c r="C173" s="174"/>
      <c r="E173" s="222"/>
      <c r="F173" s="403"/>
      <c r="G173" s="168"/>
      <c r="H173" s="391"/>
      <c r="I173" s="175"/>
      <c r="J173" s="200"/>
      <c r="K173" s="216"/>
      <c r="L173" s="216"/>
      <c r="M173" s="216"/>
      <c r="N173" s="216"/>
      <c r="O173" s="213"/>
    </row>
    <row r="174" spans="1:15" ht="15.75" customHeight="1" x14ac:dyDescent="0.25">
      <c r="A174" s="194"/>
      <c r="B174" s="171"/>
      <c r="C174" s="174"/>
      <c r="E174" s="222"/>
      <c r="F174" s="403"/>
      <c r="G174" s="168"/>
      <c r="H174" s="391"/>
      <c r="I174" s="175"/>
      <c r="J174" s="200"/>
      <c r="K174" s="216"/>
      <c r="L174" s="216"/>
      <c r="M174" s="216"/>
      <c r="N174" s="216"/>
      <c r="O174" s="213"/>
    </row>
    <row r="175" spans="1:15" ht="15.75" customHeight="1" x14ac:dyDescent="0.25">
      <c r="A175" s="194"/>
      <c r="B175" s="171"/>
      <c r="C175" s="174"/>
      <c r="E175" s="222"/>
      <c r="F175" s="403"/>
      <c r="G175" s="168"/>
      <c r="H175" s="391"/>
      <c r="I175" s="175"/>
      <c r="J175" s="200"/>
      <c r="K175" s="216"/>
      <c r="L175" s="216"/>
      <c r="M175" s="216"/>
      <c r="N175" s="216"/>
      <c r="O175" s="213"/>
    </row>
    <row r="176" spans="1:15" ht="15.75" customHeight="1" x14ac:dyDescent="0.25">
      <c r="A176" s="194"/>
      <c r="B176" s="171"/>
      <c r="C176" s="174"/>
      <c r="E176" s="222"/>
      <c r="F176" s="403"/>
      <c r="G176" s="168"/>
      <c r="H176" s="391"/>
      <c r="I176" s="175"/>
      <c r="J176" s="200"/>
      <c r="K176" s="216"/>
      <c r="L176" s="216"/>
      <c r="M176" s="216"/>
      <c r="N176" s="216"/>
      <c r="O176" s="213"/>
    </row>
    <row r="177" spans="1:15" ht="15.75" customHeight="1" x14ac:dyDescent="0.25">
      <c r="A177" s="194"/>
      <c r="B177" s="171"/>
      <c r="C177" s="174"/>
      <c r="E177" s="222"/>
      <c r="F177" s="403"/>
      <c r="G177" s="168"/>
      <c r="H177" s="391"/>
      <c r="I177" s="175"/>
      <c r="J177" s="200"/>
      <c r="K177" s="216"/>
      <c r="L177" s="216"/>
      <c r="M177" s="216"/>
      <c r="N177" s="216"/>
      <c r="O177" s="213"/>
    </row>
    <row r="178" spans="1:15" ht="15.75" customHeight="1" x14ac:dyDescent="0.25">
      <c r="A178" s="194"/>
      <c r="B178" s="171"/>
      <c r="C178" s="174"/>
      <c r="E178" s="222"/>
      <c r="F178" s="688"/>
      <c r="G178" s="168"/>
      <c r="H178" s="391"/>
      <c r="I178" s="175"/>
      <c r="J178" s="200"/>
      <c r="K178" s="216"/>
      <c r="L178" s="216"/>
      <c r="M178" s="216"/>
      <c r="N178" s="216"/>
      <c r="O178" s="213"/>
    </row>
    <row r="179" spans="1:15" ht="15.75" customHeight="1" x14ac:dyDescent="0.25">
      <c r="A179" s="194"/>
      <c r="B179" s="171"/>
      <c r="C179" s="174"/>
      <c r="E179" s="222"/>
      <c r="F179" s="688"/>
      <c r="G179" s="168"/>
      <c r="H179" s="391"/>
      <c r="I179" s="175"/>
      <c r="J179" s="200"/>
      <c r="K179" s="216"/>
      <c r="L179" s="216"/>
      <c r="M179" s="216"/>
      <c r="N179" s="216"/>
      <c r="O179" s="213"/>
    </row>
    <row r="180" spans="1:15" ht="15.75" customHeight="1" x14ac:dyDescent="0.25">
      <c r="A180" s="194"/>
      <c r="B180" s="171"/>
      <c r="C180" s="174"/>
      <c r="E180" s="222"/>
      <c r="F180" s="403"/>
      <c r="G180" s="168"/>
      <c r="H180" s="391"/>
      <c r="I180" s="175"/>
      <c r="J180" s="200"/>
      <c r="K180" s="216"/>
      <c r="L180" s="216"/>
      <c r="M180" s="216"/>
      <c r="N180" s="216"/>
      <c r="O180" s="213"/>
    </row>
    <row r="181" spans="1:15" ht="15.75" customHeight="1" x14ac:dyDescent="0.25">
      <c r="A181" s="194"/>
      <c r="B181" s="171"/>
      <c r="C181" s="174"/>
      <c r="E181" s="222"/>
      <c r="F181" s="403"/>
      <c r="G181" s="168"/>
      <c r="H181" s="391"/>
      <c r="I181" s="175"/>
      <c r="J181" s="200"/>
      <c r="K181" s="216"/>
      <c r="L181" s="216"/>
      <c r="M181" s="216"/>
      <c r="N181" s="216"/>
      <c r="O181" s="213"/>
    </row>
    <row r="182" spans="1:15" ht="15.75" customHeight="1" x14ac:dyDescent="0.25">
      <c r="A182" s="194"/>
      <c r="B182" s="171"/>
      <c r="C182" s="174"/>
      <c r="E182" s="222"/>
      <c r="F182" s="403"/>
      <c r="G182" s="168"/>
      <c r="H182" s="391"/>
      <c r="I182" s="175"/>
      <c r="J182" s="200"/>
      <c r="K182" s="216"/>
      <c r="L182" s="216"/>
      <c r="M182" s="216"/>
      <c r="N182" s="216"/>
      <c r="O182" s="213"/>
    </row>
    <row r="183" spans="1:15" ht="15.75" customHeight="1" x14ac:dyDescent="0.25">
      <c r="A183" s="194"/>
      <c r="B183" s="171"/>
      <c r="C183" s="174"/>
      <c r="E183" s="222"/>
      <c r="F183" s="402"/>
      <c r="G183" s="168"/>
      <c r="H183" s="391"/>
      <c r="I183" s="175"/>
      <c r="J183" s="200"/>
      <c r="K183" s="216"/>
      <c r="L183" s="216"/>
      <c r="M183" s="216"/>
      <c r="N183" s="216"/>
      <c r="O183" s="213"/>
    </row>
    <row r="184" spans="1:15" ht="15.75" customHeight="1" x14ac:dyDescent="0.25">
      <c r="A184" s="194"/>
      <c r="B184" s="171"/>
      <c r="C184" s="174"/>
      <c r="E184" s="222"/>
      <c r="F184" s="403"/>
      <c r="G184" s="168"/>
      <c r="H184" s="391"/>
      <c r="I184" s="175"/>
      <c r="J184" s="200"/>
      <c r="K184" s="216"/>
      <c r="L184" s="216"/>
      <c r="M184" s="216"/>
      <c r="N184" s="216"/>
      <c r="O184" s="213"/>
    </row>
    <row r="185" spans="1:15" ht="15.75" customHeight="1" x14ac:dyDescent="0.25">
      <c r="A185" s="194"/>
      <c r="B185" s="171"/>
      <c r="C185" s="174"/>
      <c r="E185" s="222"/>
      <c r="F185" s="403"/>
      <c r="G185" s="168"/>
      <c r="H185" s="391"/>
      <c r="I185" s="175"/>
      <c r="J185" s="200"/>
      <c r="K185" s="216"/>
      <c r="L185" s="216"/>
      <c r="M185" s="216"/>
      <c r="N185" s="216"/>
      <c r="O185" s="213"/>
    </row>
    <row r="186" spans="1:15" ht="15.75" customHeight="1" x14ac:dyDescent="0.25">
      <c r="A186" s="194"/>
      <c r="B186" s="407"/>
      <c r="C186" s="174"/>
      <c r="E186" s="222"/>
      <c r="F186" s="403"/>
      <c r="G186" s="169"/>
      <c r="H186" s="391"/>
      <c r="I186" s="175"/>
      <c r="J186" s="200"/>
      <c r="K186" s="547"/>
      <c r="L186" s="216"/>
      <c r="M186" s="216"/>
      <c r="N186" s="216"/>
      <c r="O186" s="213"/>
    </row>
    <row r="187" spans="1:15" ht="15.75" customHeight="1" x14ac:dyDescent="0.25">
      <c r="A187" s="194"/>
      <c r="B187" s="171"/>
      <c r="C187" s="403"/>
      <c r="D187" s="13"/>
      <c r="E187" s="222"/>
      <c r="F187" s="403"/>
      <c r="G187" s="169"/>
      <c r="H187" s="391"/>
      <c r="I187" s="175"/>
      <c r="J187" s="200"/>
      <c r="K187" s="216"/>
      <c r="L187" s="216"/>
      <c r="M187" s="216"/>
      <c r="N187" s="216"/>
      <c r="O187" s="213"/>
    </row>
    <row r="188" spans="1:15" ht="15.75" customHeight="1" x14ac:dyDescent="0.25">
      <c r="A188" s="194"/>
      <c r="B188" s="687"/>
      <c r="C188" s="174"/>
      <c r="D188" s="695"/>
      <c r="E188" s="222"/>
      <c r="F188" s="688"/>
      <c r="G188" s="168"/>
      <c r="H188" s="391"/>
      <c r="I188" s="559"/>
      <c r="J188" s="200"/>
      <c r="K188" s="547"/>
      <c r="L188" s="560"/>
      <c r="M188" s="560"/>
      <c r="N188" s="560"/>
      <c r="O188" s="213"/>
    </row>
    <row r="189" spans="1:15" ht="15.75" customHeight="1" x14ac:dyDescent="0.25">
      <c r="A189" s="194"/>
      <c r="B189" s="687"/>
      <c r="C189" s="174"/>
      <c r="D189" s="695"/>
      <c r="E189" s="222"/>
      <c r="F189" s="688"/>
      <c r="G189" s="168"/>
      <c r="H189" s="391"/>
      <c r="I189" s="559"/>
      <c r="J189" s="200"/>
      <c r="K189" s="547"/>
      <c r="L189" s="560"/>
      <c r="M189" s="560"/>
      <c r="N189" s="560"/>
      <c r="O189" s="213"/>
    </row>
    <row r="190" spans="1:15" ht="15.75" customHeight="1" x14ac:dyDescent="0.25">
      <c r="A190" s="194"/>
      <c r="B190" s="171"/>
      <c r="C190" s="174"/>
      <c r="E190" s="174"/>
      <c r="F190" s="402"/>
      <c r="G190" s="168"/>
      <c r="H190" s="391"/>
      <c r="I190" s="175"/>
      <c r="J190" s="200"/>
      <c r="K190" s="220"/>
      <c r="L190" s="216"/>
      <c r="M190" s="216"/>
      <c r="N190" s="216"/>
      <c r="O190" s="213"/>
    </row>
    <row r="191" spans="1:15" ht="15.75" customHeight="1" x14ac:dyDescent="0.25">
      <c r="A191" s="194"/>
      <c r="B191" s="171"/>
      <c r="C191" s="174"/>
      <c r="E191" s="222"/>
      <c r="F191" s="403"/>
      <c r="G191" s="168"/>
      <c r="H191" s="391"/>
      <c r="I191" s="175"/>
      <c r="J191" s="200"/>
      <c r="K191" s="220"/>
      <c r="L191" s="216"/>
      <c r="M191" s="216"/>
      <c r="N191" s="216"/>
      <c r="O191" s="213"/>
    </row>
    <row r="192" spans="1:15" ht="15.75" customHeight="1" x14ac:dyDescent="0.25">
      <c r="A192" s="194"/>
      <c r="B192" s="171"/>
      <c r="C192" s="174"/>
      <c r="E192" s="222"/>
      <c r="F192" s="403"/>
      <c r="G192" s="168"/>
      <c r="H192" s="391"/>
      <c r="I192" s="175"/>
      <c r="J192" s="200"/>
      <c r="K192" s="220"/>
      <c r="L192" s="216"/>
      <c r="M192" s="216"/>
      <c r="N192" s="216"/>
      <c r="O192" s="213"/>
    </row>
    <row r="193" spans="1:15" ht="15.75" customHeight="1" x14ac:dyDescent="0.25">
      <c r="A193" s="194"/>
      <c r="B193" s="171"/>
      <c r="C193" s="174"/>
      <c r="E193" s="222"/>
      <c r="F193" s="403"/>
      <c r="G193" s="168"/>
      <c r="H193" s="391"/>
      <c r="I193" s="175"/>
      <c r="J193" s="200"/>
      <c r="K193" s="220"/>
      <c r="L193" s="216"/>
      <c r="M193" s="216"/>
      <c r="N193" s="216"/>
      <c r="O193" s="213"/>
    </row>
    <row r="194" spans="1:15" ht="15.75" customHeight="1" x14ac:dyDescent="0.25">
      <c r="A194" s="194"/>
      <c r="B194" s="171"/>
      <c r="C194" s="174"/>
      <c r="E194" s="222"/>
      <c r="F194" s="403"/>
      <c r="G194" s="168"/>
      <c r="H194" s="391"/>
      <c r="I194" s="175"/>
      <c r="J194" s="200"/>
      <c r="K194" s="220"/>
      <c r="L194" s="216"/>
      <c r="M194" s="216"/>
      <c r="N194" s="216"/>
      <c r="O194" s="213"/>
    </row>
    <row r="195" spans="1:15" ht="15.75" customHeight="1" x14ac:dyDescent="0.25">
      <c r="A195" s="194"/>
      <c r="B195" s="171"/>
      <c r="C195" s="174"/>
      <c r="E195" s="222"/>
      <c r="F195" s="403"/>
      <c r="G195" s="168"/>
      <c r="H195" s="391"/>
      <c r="I195" s="175"/>
      <c r="J195" s="200"/>
      <c r="K195" s="220"/>
      <c r="L195" s="216"/>
      <c r="M195" s="216"/>
      <c r="N195" s="216"/>
      <c r="O195" s="213"/>
    </row>
    <row r="196" spans="1:15" ht="15.75" customHeight="1" x14ac:dyDescent="0.25">
      <c r="A196" s="194"/>
      <c r="B196" s="171"/>
      <c r="C196" s="174"/>
      <c r="E196" s="222"/>
      <c r="F196" s="403"/>
      <c r="G196" s="168"/>
      <c r="H196" s="391"/>
      <c r="I196" s="175"/>
      <c r="J196" s="200"/>
      <c r="K196" s="220"/>
      <c r="L196" s="216"/>
      <c r="M196" s="216"/>
      <c r="N196" s="216"/>
      <c r="O196" s="213"/>
    </row>
    <row r="197" spans="1:15" ht="15.75" customHeight="1" x14ac:dyDescent="0.25">
      <c r="A197" s="194"/>
      <c r="B197" s="171"/>
      <c r="C197" s="174"/>
      <c r="E197" s="222"/>
      <c r="F197" s="403"/>
      <c r="G197" s="168"/>
      <c r="H197" s="391"/>
      <c r="I197" s="175"/>
      <c r="J197" s="200"/>
      <c r="K197" s="220"/>
      <c r="L197" s="216"/>
      <c r="M197" s="216"/>
      <c r="N197" s="216"/>
      <c r="O197" s="213"/>
    </row>
    <row r="198" spans="1:15" ht="15.75" customHeight="1" x14ac:dyDescent="0.25">
      <c r="A198" s="194"/>
      <c r="B198" s="171"/>
      <c r="C198" s="174"/>
      <c r="E198" s="222"/>
      <c r="F198" s="403"/>
      <c r="G198" s="168"/>
      <c r="H198" s="391"/>
      <c r="I198" s="175"/>
      <c r="J198" s="200"/>
      <c r="K198" s="220"/>
      <c r="L198" s="216"/>
      <c r="M198" s="216"/>
      <c r="N198" s="216"/>
      <c r="O198" s="213"/>
    </row>
    <row r="199" spans="1:15" ht="15.75" customHeight="1" x14ac:dyDescent="0.25">
      <c r="A199" s="194"/>
      <c r="B199" s="171"/>
      <c r="C199" s="174"/>
      <c r="D199" s="592"/>
      <c r="E199" s="593"/>
      <c r="F199" s="403"/>
      <c r="G199" s="168"/>
      <c r="H199" s="391"/>
      <c r="I199" s="595"/>
      <c r="J199" s="200"/>
      <c r="K199" s="605"/>
      <c r="L199" s="597"/>
      <c r="M199" s="597"/>
      <c r="N199" s="597"/>
      <c r="O199" s="213"/>
    </row>
    <row r="200" spans="1:15" ht="15.75" customHeight="1" x14ac:dyDescent="0.25">
      <c r="A200" s="194"/>
      <c r="B200" s="171"/>
      <c r="C200" s="174"/>
      <c r="D200" s="577"/>
      <c r="E200" s="578"/>
      <c r="F200" s="403"/>
      <c r="G200" s="168"/>
      <c r="H200" s="391"/>
      <c r="I200" s="580"/>
      <c r="J200" s="200"/>
      <c r="K200" s="587"/>
      <c r="L200" s="582"/>
      <c r="M200" s="582"/>
      <c r="N200" s="582"/>
      <c r="O200" s="213"/>
    </row>
    <row r="201" spans="1:15" ht="15.75" customHeight="1" x14ac:dyDescent="0.25">
      <c r="A201" s="194"/>
      <c r="B201" s="171"/>
      <c r="C201" s="174"/>
      <c r="D201" s="592"/>
      <c r="E201" s="593"/>
      <c r="F201" s="403"/>
      <c r="G201" s="168"/>
      <c r="H201" s="391"/>
      <c r="I201" s="595"/>
      <c r="J201" s="200"/>
      <c r="K201" s="605"/>
      <c r="L201" s="597"/>
      <c r="M201" s="597"/>
      <c r="N201" s="597"/>
      <c r="O201" s="213"/>
    </row>
    <row r="202" spans="1:15" ht="15.75" customHeight="1" x14ac:dyDescent="0.25">
      <c r="A202" s="194"/>
      <c r="B202" s="171"/>
      <c r="C202" s="174"/>
      <c r="D202" s="592"/>
      <c r="E202" s="593"/>
      <c r="F202" s="403"/>
      <c r="G202" s="168"/>
      <c r="H202" s="391"/>
      <c r="I202" s="595"/>
      <c r="J202" s="200"/>
      <c r="K202" s="605"/>
      <c r="L202" s="597"/>
      <c r="M202" s="597"/>
      <c r="N202" s="597"/>
      <c r="O202" s="213"/>
    </row>
    <row r="203" spans="1:15" ht="15.75" customHeight="1" x14ac:dyDescent="0.25">
      <c r="A203" s="194"/>
      <c r="B203" s="171"/>
      <c r="C203" s="174"/>
      <c r="D203" s="592"/>
      <c r="E203" s="593"/>
      <c r="F203" s="403"/>
      <c r="G203" s="168"/>
      <c r="H203" s="391"/>
      <c r="I203" s="595"/>
      <c r="J203" s="200"/>
      <c r="K203" s="605"/>
      <c r="L203" s="597"/>
      <c r="M203" s="597"/>
      <c r="N203" s="597"/>
      <c r="O203" s="213"/>
    </row>
    <row r="204" spans="1:15" ht="15.75" customHeight="1" x14ac:dyDescent="0.25">
      <c r="A204" s="194"/>
      <c r="B204" s="171"/>
      <c r="C204" s="174"/>
      <c r="D204" s="592"/>
      <c r="E204" s="593"/>
      <c r="F204" s="403"/>
      <c r="G204" s="168"/>
      <c r="H204" s="391"/>
      <c r="I204" s="595"/>
      <c r="J204" s="200"/>
      <c r="K204" s="605"/>
      <c r="L204" s="597"/>
      <c r="M204" s="597"/>
      <c r="N204" s="597"/>
      <c r="O204" s="213"/>
    </row>
    <row r="205" spans="1:15" ht="15.75" customHeight="1" x14ac:dyDescent="0.25">
      <c r="A205" s="194"/>
      <c r="B205" s="171"/>
      <c r="C205" s="174"/>
      <c r="D205" s="592"/>
      <c r="E205" s="593"/>
      <c r="F205" s="403"/>
      <c r="G205" s="168"/>
      <c r="H205" s="391"/>
      <c r="I205" s="595"/>
      <c r="J205" s="200"/>
      <c r="K205" s="605"/>
      <c r="L205" s="597"/>
      <c r="M205" s="597"/>
      <c r="N205" s="597"/>
      <c r="O205" s="213"/>
    </row>
    <row r="206" spans="1:15" ht="15.75" customHeight="1" x14ac:dyDescent="0.25">
      <c r="A206" s="194"/>
      <c r="B206" s="171"/>
      <c r="C206" s="174"/>
      <c r="D206" s="592"/>
      <c r="E206" s="593"/>
      <c r="F206" s="403"/>
      <c r="G206" s="168"/>
      <c r="H206" s="391"/>
      <c r="I206" s="595"/>
      <c r="J206" s="200"/>
      <c r="K206" s="605"/>
      <c r="L206" s="597"/>
      <c r="M206" s="597"/>
      <c r="N206" s="597"/>
      <c r="O206" s="213"/>
    </row>
    <row r="207" spans="1:15" ht="15.75" customHeight="1" x14ac:dyDescent="0.25">
      <c r="A207" s="194"/>
      <c r="B207" s="171"/>
      <c r="C207" s="174"/>
      <c r="D207" s="592"/>
      <c r="E207" s="593"/>
      <c r="F207" s="688"/>
      <c r="G207" s="168"/>
      <c r="H207" s="391"/>
      <c r="I207" s="595"/>
      <c r="J207" s="200"/>
      <c r="K207" s="605"/>
      <c r="L207" s="597"/>
      <c r="M207" s="597"/>
      <c r="N207" s="597"/>
      <c r="O207" s="213"/>
    </row>
    <row r="208" spans="1:15" ht="15.75" customHeight="1" x14ac:dyDescent="0.25">
      <c r="A208" s="194"/>
      <c r="B208" s="171"/>
      <c r="C208" s="174"/>
      <c r="D208" s="592"/>
      <c r="E208" s="593"/>
      <c r="F208" s="688"/>
      <c r="G208" s="168"/>
      <c r="H208" s="391"/>
      <c r="I208" s="595"/>
      <c r="J208" s="200"/>
      <c r="K208" s="605"/>
      <c r="L208" s="597"/>
      <c r="M208" s="597"/>
      <c r="N208" s="597"/>
      <c r="O208" s="213"/>
    </row>
    <row r="209" spans="1:15" ht="15.75" customHeight="1" x14ac:dyDescent="0.25">
      <c r="A209" s="589"/>
      <c r="B209" s="590"/>
      <c r="C209" s="174"/>
      <c r="D209" s="592"/>
      <c r="E209" s="593"/>
      <c r="F209" s="688"/>
      <c r="G209" s="168"/>
      <c r="H209" s="391"/>
      <c r="I209" s="595"/>
      <c r="J209" s="200"/>
      <c r="K209" s="605"/>
      <c r="L209" s="597"/>
      <c r="M209" s="597"/>
      <c r="N209" s="597"/>
      <c r="O209" s="213"/>
    </row>
    <row r="210" spans="1:15" ht="15.75" customHeight="1" x14ac:dyDescent="0.25">
      <c r="A210" s="194"/>
      <c r="B210" s="171"/>
      <c r="C210" s="174"/>
      <c r="D210" s="592"/>
      <c r="E210" s="593"/>
      <c r="F210" s="403"/>
      <c r="G210" s="168"/>
      <c r="H210" s="391"/>
      <c r="I210" s="595"/>
      <c r="J210" s="200"/>
      <c r="K210" s="605"/>
      <c r="L210" s="597"/>
      <c r="M210" s="597"/>
      <c r="N210" s="597"/>
      <c r="O210" s="213"/>
    </row>
    <row r="211" spans="1:15" ht="15.75" customHeight="1" x14ac:dyDescent="0.25">
      <c r="A211" s="194"/>
      <c r="B211" s="171"/>
      <c r="C211" s="174"/>
      <c r="D211" s="592"/>
      <c r="E211" s="593"/>
      <c r="F211" s="403"/>
      <c r="G211" s="168"/>
      <c r="H211" s="391"/>
      <c r="I211" s="595"/>
      <c r="J211" s="200"/>
      <c r="K211" s="605"/>
      <c r="L211" s="597"/>
      <c r="M211" s="597"/>
      <c r="N211" s="597"/>
      <c r="O211" s="213"/>
    </row>
    <row r="212" spans="1:15" ht="15.75" customHeight="1" x14ac:dyDescent="0.25">
      <c r="A212" s="194"/>
      <c r="B212" s="171"/>
      <c r="C212" s="174"/>
      <c r="D212" s="577"/>
      <c r="E212" s="578"/>
      <c r="F212" s="403"/>
      <c r="G212" s="168"/>
      <c r="H212" s="391"/>
      <c r="I212" s="580"/>
      <c r="J212" s="200"/>
      <c r="K212" s="587"/>
      <c r="L212" s="582"/>
      <c r="M212" s="582"/>
      <c r="N212" s="582"/>
      <c r="O212" s="213"/>
    </row>
    <row r="213" spans="1:15" ht="15.75" customHeight="1" x14ac:dyDescent="0.25">
      <c r="A213" s="194"/>
      <c r="B213" s="171"/>
      <c r="C213" s="174"/>
      <c r="D213" s="577"/>
      <c r="E213" s="578"/>
      <c r="F213" s="403"/>
      <c r="G213" s="168"/>
      <c r="H213" s="391"/>
      <c r="I213" s="580"/>
      <c r="J213" s="200"/>
      <c r="K213" s="587"/>
      <c r="L213" s="582"/>
      <c r="M213" s="582"/>
      <c r="N213" s="582"/>
      <c r="O213" s="213"/>
    </row>
    <row r="214" spans="1:15" ht="15.75" customHeight="1" x14ac:dyDescent="0.25">
      <c r="A214" s="194"/>
      <c r="B214" s="171"/>
      <c r="C214" s="174"/>
      <c r="D214" s="577"/>
      <c r="E214" s="578"/>
      <c r="F214" s="403"/>
      <c r="G214" s="168"/>
      <c r="H214" s="391"/>
      <c r="I214" s="580"/>
      <c r="J214" s="200"/>
      <c r="K214" s="587"/>
      <c r="L214" s="582"/>
      <c r="M214" s="582"/>
      <c r="N214" s="582"/>
      <c r="O214" s="213"/>
    </row>
    <row r="215" spans="1:15" ht="15.75" customHeight="1" x14ac:dyDescent="0.25">
      <c r="A215" s="589"/>
      <c r="B215" s="590"/>
      <c r="C215" s="696"/>
      <c r="D215" s="592"/>
      <c r="E215" s="593"/>
      <c r="F215" s="194"/>
      <c r="G215" s="168"/>
      <c r="H215" s="391"/>
      <c r="I215" s="595"/>
      <c r="J215" s="200"/>
      <c r="K215" s="605"/>
      <c r="L215" s="597"/>
      <c r="M215" s="597"/>
      <c r="N215" s="597"/>
      <c r="O215" s="213"/>
    </row>
    <row r="216" spans="1:15" ht="15.75" customHeight="1" x14ac:dyDescent="0.25">
      <c r="A216" s="194"/>
      <c r="B216" s="171"/>
      <c r="C216" s="174"/>
      <c r="D216" s="592"/>
      <c r="E216" s="593"/>
      <c r="F216" s="403"/>
      <c r="G216" s="168"/>
      <c r="H216" s="391"/>
      <c r="I216" s="595"/>
      <c r="J216" s="200"/>
      <c r="K216" s="605"/>
      <c r="L216" s="597"/>
      <c r="M216" s="597"/>
      <c r="N216" s="597"/>
      <c r="O216" s="213"/>
    </row>
    <row r="217" spans="1:15" ht="15.75" customHeight="1" x14ac:dyDescent="0.25">
      <c r="A217" s="589"/>
      <c r="B217" s="590"/>
      <c r="C217" s="696"/>
      <c r="D217" s="592"/>
      <c r="E217" s="593"/>
      <c r="F217" s="194"/>
      <c r="G217" s="168"/>
      <c r="H217" s="391"/>
      <c r="I217" s="595"/>
      <c r="J217" s="200"/>
      <c r="K217" s="605"/>
      <c r="L217" s="597"/>
      <c r="M217" s="597"/>
      <c r="N217" s="597"/>
      <c r="O217" s="213"/>
    </row>
    <row r="218" spans="1:15" ht="15.75" customHeight="1" x14ac:dyDescent="0.25">
      <c r="A218" s="194"/>
      <c r="B218" s="171"/>
      <c r="C218" s="174"/>
      <c r="D218" s="592"/>
      <c r="E218" s="593"/>
      <c r="F218" s="403"/>
      <c r="G218" s="168"/>
      <c r="H218" s="391"/>
      <c r="I218" s="595"/>
      <c r="J218" s="200"/>
      <c r="K218" s="597"/>
      <c r="L218" s="597"/>
      <c r="M218" s="597"/>
      <c r="N218" s="597"/>
      <c r="O218" s="213"/>
    </row>
    <row r="219" spans="1:15" ht="15.75" customHeight="1" x14ac:dyDescent="0.25">
      <c r="A219" s="194"/>
      <c r="B219" s="171"/>
      <c r="C219" s="174"/>
      <c r="D219" s="577"/>
      <c r="E219" s="578"/>
      <c r="F219" s="403"/>
      <c r="G219" s="168"/>
      <c r="H219" s="391"/>
      <c r="I219" s="580"/>
      <c r="J219" s="200"/>
      <c r="K219" s="582"/>
      <c r="L219" s="582"/>
      <c r="M219" s="582"/>
      <c r="N219" s="582"/>
      <c r="O219" s="213"/>
    </row>
    <row r="220" spans="1:15" ht="15.75" customHeight="1" x14ac:dyDescent="0.25">
      <c r="A220" s="589"/>
      <c r="B220" s="590"/>
      <c r="C220" s="174"/>
      <c r="D220" s="592"/>
      <c r="E220" s="593"/>
      <c r="F220" s="403"/>
      <c r="G220" s="168"/>
      <c r="H220" s="391"/>
      <c r="I220" s="595"/>
      <c r="J220" s="200"/>
      <c r="K220" s="597"/>
      <c r="L220" s="597"/>
      <c r="M220" s="597"/>
      <c r="N220" s="597"/>
      <c r="O220" s="213"/>
    </row>
    <row r="221" spans="1:15" ht="15.75" customHeight="1" x14ac:dyDescent="0.25">
      <c r="A221" s="194"/>
      <c r="B221" s="171"/>
      <c r="C221" s="174"/>
      <c r="D221" s="577"/>
      <c r="E221" s="578"/>
      <c r="F221" s="403"/>
      <c r="G221" s="168"/>
      <c r="H221" s="391"/>
      <c r="I221" s="580"/>
      <c r="J221" s="200"/>
      <c r="K221" s="582"/>
      <c r="L221" s="582"/>
      <c r="M221" s="582"/>
      <c r="N221" s="582"/>
      <c r="O221" s="213"/>
    </row>
    <row r="222" spans="1:15" ht="15.75" customHeight="1" x14ac:dyDescent="0.25">
      <c r="A222" s="589"/>
      <c r="B222" s="590"/>
      <c r="C222" s="174"/>
      <c r="D222" s="592"/>
      <c r="E222" s="593"/>
      <c r="F222" s="403"/>
      <c r="G222" s="168"/>
      <c r="H222" s="391"/>
      <c r="I222" s="595"/>
      <c r="J222" s="200"/>
      <c r="K222" s="597"/>
      <c r="L222" s="597"/>
      <c r="M222" s="597"/>
      <c r="N222" s="597"/>
      <c r="O222" s="213"/>
    </row>
    <row r="223" spans="1:15" ht="15.75" customHeight="1" x14ac:dyDescent="0.25">
      <c r="A223" s="194"/>
      <c r="B223" s="687"/>
      <c r="C223" s="174"/>
      <c r="D223" s="689"/>
      <c r="E223" s="222"/>
      <c r="F223" s="688"/>
      <c r="G223" s="168"/>
      <c r="H223" s="391"/>
      <c r="I223" s="546"/>
      <c r="J223" s="200"/>
      <c r="K223" s="216"/>
      <c r="L223" s="547"/>
      <c r="M223" s="547"/>
      <c r="N223" s="547"/>
      <c r="O223" s="213"/>
    </row>
    <row r="224" spans="1:15" ht="15.75" customHeight="1" x14ac:dyDescent="0.25">
      <c r="A224" s="194"/>
      <c r="B224" s="171"/>
      <c r="D224" s="689"/>
      <c r="E224" s="222"/>
      <c r="F224" s="688"/>
      <c r="G224" s="168"/>
      <c r="H224" s="391"/>
      <c r="I224" s="546"/>
      <c r="J224" s="200"/>
      <c r="K224" s="547"/>
      <c r="L224" s="547"/>
      <c r="M224" s="547"/>
      <c r="N224" s="547"/>
      <c r="O224" s="213"/>
    </row>
    <row r="225" spans="1:15" ht="15.75" customHeight="1" x14ac:dyDescent="0.25">
      <c r="A225" s="194"/>
      <c r="B225" s="407"/>
      <c r="D225" s="13"/>
      <c r="E225" s="222"/>
      <c r="F225" s="403"/>
      <c r="G225" s="169"/>
      <c r="H225" s="391"/>
      <c r="I225" s="175"/>
      <c r="J225" s="200"/>
      <c r="K225" s="547"/>
      <c r="L225" s="216"/>
      <c r="M225" s="216"/>
      <c r="N225" s="216"/>
      <c r="O225" s="213"/>
    </row>
    <row r="226" spans="1:15" ht="15.75" customHeight="1" x14ac:dyDescent="0.25">
      <c r="A226" s="194"/>
      <c r="B226" s="171"/>
      <c r="D226" s="689"/>
      <c r="E226" s="222"/>
      <c r="F226" s="688"/>
      <c r="G226" s="168"/>
      <c r="H226" s="391"/>
      <c r="I226" s="546"/>
      <c r="J226" s="200"/>
      <c r="K226" s="547"/>
      <c r="L226" s="547"/>
      <c r="M226" s="547"/>
      <c r="N226" s="547"/>
      <c r="O226" s="213"/>
    </row>
    <row r="227" spans="1:15" ht="15.75" customHeight="1" x14ac:dyDescent="0.25">
      <c r="A227" s="194"/>
      <c r="B227" s="171"/>
      <c r="D227" s="689"/>
      <c r="E227" s="222"/>
      <c r="F227" s="688"/>
      <c r="G227" s="168"/>
      <c r="H227" s="391"/>
      <c r="I227" s="546"/>
      <c r="J227" s="200"/>
      <c r="K227" s="547"/>
      <c r="L227" s="547"/>
      <c r="M227" s="547"/>
      <c r="N227" s="547"/>
      <c r="O227" s="213"/>
    </row>
    <row r="228" spans="1:15" ht="15.75" customHeight="1" x14ac:dyDescent="0.25">
      <c r="A228" s="194"/>
      <c r="B228" s="171"/>
      <c r="C228" s="690"/>
      <c r="D228" s="13"/>
      <c r="E228" s="222"/>
      <c r="F228" s="403"/>
      <c r="G228" s="169"/>
      <c r="H228" s="391"/>
      <c r="I228" s="175"/>
      <c r="J228" s="200"/>
      <c r="K228" s="216"/>
      <c r="L228" s="216"/>
      <c r="M228" s="216"/>
      <c r="N228" s="216"/>
      <c r="O228" s="213"/>
    </row>
    <row r="229" spans="1:15" ht="15.75" customHeight="1" x14ac:dyDescent="0.25">
      <c r="A229" s="194"/>
      <c r="B229" s="171"/>
      <c r="E229" s="174"/>
      <c r="F229" s="402"/>
      <c r="G229" s="168"/>
      <c r="H229" s="391"/>
      <c r="I229" s="175"/>
      <c r="J229" s="200"/>
      <c r="K229" s="216"/>
      <c r="L229" s="216"/>
      <c r="M229" s="216"/>
      <c r="N229" s="216"/>
      <c r="O229" s="213"/>
    </row>
    <row r="230" spans="1:15" ht="15.75" customHeight="1" x14ac:dyDescent="0.25">
      <c r="A230" s="194"/>
      <c r="B230" s="171"/>
      <c r="D230" s="689"/>
      <c r="E230" s="222"/>
      <c r="F230" s="688"/>
      <c r="G230" s="168"/>
      <c r="H230" s="391"/>
      <c r="I230" s="546"/>
      <c r="J230" s="200"/>
      <c r="K230" s="547"/>
      <c r="L230" s="547"/>
      <c r="M230" s="547"/>
      <c r="N230" s="547"/>
      <c r="O230" s="213"/>
    </row>
    <row r="231" spans="1:15" ht="15.75" customHeight="1" x14ac:dyDescent="0.25">
      <c r="A231" s="194"/>
      <c r="B231" s="171"/>
      <c r="D231" s="689"/>
      <c r="E231" s="222"/>
      <c r="F231" s="688"/>
      <c r="G231" s="168"/>
      <c r="H231" s="391"/>
      <c r="I231" s="546"/>
      <c r="J231" s="200"/>
      <c r="K231" s="547"/>
      <c r="L231" s="547"/>
      <c r="M231" s="547"/>
      <c r="N231" s="547"/>
      <c r="O231" s="213"/>
    </row>
    <row r="232" spans="1:15" ht="15.75" customHeight="1" x14ac:dyDescent="0.25">
      <c r="A232" s="194"/>
      <c r="B232" s="171"/>
      <c r="D232" s="689"/>
      <c r="E232" s="222"/>
      <c r="F232" s="688"/>
      <c r="G232" s="168"/>
      <c r="H232" s="391"/>
      <c r="I232" s="546"/>
      <c r="J232" s="200"/>
      <c r="K232" s="547"/>
      <c r="L232" s="547"/>
      <c r="M232" s="547"/>
      <c r="N232" s="547"/>
      <c r="O232" s="213"/>
    </row>
    <row r="233" spans="1:15" ht="15.75" customHeight="1" x14ac:dyDescent="0.25">
      <c r="A233" s="194"/>
      <c r="B233" s="171"/>
      <c r="C233" s="690"/>
      <c r="D233" s="13"/>
      <c r="E233" s="222"/>
      <c r="F233" s="403"/>
      <c r="G233" s="169"/>
      <c r="H233" s="391"/>
      <c r="I233" s="175"/>
      <c r="J233" s="200"/>
      <c r="K233" s="216"/>
      <c r="L233" s="216"/>
      <c r="M233" s="216"/>
      <c r="N233" s="216"/>
      <c r="O233" s="213"/>
    </row>
    <row r="234" spans="1:15" ht="15.75" customHeight="1" x14ac:dyDescent="0.25">
      <c r="A234" s="194"/>
      <c r="B234" s="171"/>
      <c r="D234" s="689"/>
      <c r="E234" s="222"/>
      <c r="F234" s="688"/>
      <c r="G234" s="168"/>
      <c r="H234" s="391"/>
      <c r="I234" s="546"/>
      <c r="J234" s="200"/>
      <c r="K234" s="547"/>
      <c r="L234" s="547"/>
      <c r="M234" s="547"/>
      <c r="N234" s="547"/>
      <c r="O234" s="213"/>
    </row>
    <row r="235" spans="1:15" ht="15.75" customHeight="1" x14ac:dyDescent="0.25">
      <c r="A235" s="194"/>
      <c r="B235" s="171"/>
      <c r="D235" s="689"/>
      <c r="E235" s="222"/>
      <c r="F235" s="688"/>
      <c r="G235" s="168"/>
      <c r="H235" s="391"/>
      <c r="I235" s="546"/>
      <c r="J235" s="200"/>
      <c r="K235" s="547"/>
      <c r="L235" s="547"/>
      <c r="M235" s="547"/>
      <c r="N235" s="547"/>
      <c r="O235" s="213"/>
    </row>
    <row r="236" spans="1:15" ht="15.75" customHeight="1" x14ac:dyDescent="0.25">
      <c r="A236" s="194"/>
      <c r="B236" s="687"/>
      <c r="C236" s="697"/>
      <c r="D236" s="689"/>
      <c r="E236" s="222"/>
      <c r="F236" s="222"/>
      <c r="G236" s="168"/>
      <c r="H236" s="391"/>
      <c r="I236" s="546"/>
      <c r="J236" s="200"/>
      <c r="K236" s="547"/>
      <c r="L236" s="547"/>
      <c r="M236" s="216"/>
      <c r="N236" s="547"/>
      <c r="O236" s="213"/>
    </row>
    <row r="237" spans="1:15" ht="15.75" customHeight="1" x14ac:dyDescent="0.25">
      <c r="A237" s="194"/>
      <c r="B237" s="171"/>
      <c r="E237" s="222"/>
      <c r="F237" s="402"/>
      <c r="G237" s="168"/>
      <c r="H237" s="391"/>
      <c r="I237" s="175"/>
      <c r="J237" s="200"/>
      <c r="K237" s="216"/>
      <c r="L237" s="216"/>
      <c r="M237" s="216"/>
      <c r="N237" s="216"/>
      <c r="O237" s="213"/>
    </row>
    <row r="238" spans="1:15" ht="15.75" customHeight="1" x14ac:dyDescent="0.25">
      <c r="A238" s="194"/>
      <c r="B238" s="171"/>
      <c r="E238" s="222"/>
      <c r="F238" s="402"/>
      <c r="G238" s="168"/>
      <c r="H238" s="391"/>
      <c r="I238" s="175"/>
      <c r="J238" s="200"/>
      <c r="K238" s="216"/>
      <c r="L238" s="216"/>
      <c r="M238" s="216"/>
      <c r="N238" s="216"/>
      <c r="O238" s="213"/>
    </row>
    <row r="239" spans="1:15" ht="15.75" customHeight="1" x14ac:dyDescent="0.25">
      <c r="A239" s="194"/>
      <c r="B239" s="171"/>
      <c r="D239" s="214"/>
      <c r="E239" s="222"/>
      <c r="F239" s="404"/>
      <c r="G239" s="168"/>
      <c r="H239" s="391"/>
      <c r="I239" s="175"/>
      <c r="J239" s="200"/>
      <c r="K239" s="216"/>
      <c r="L239" s="216"/>
      <c r="M239" s="216"/>
      <c r="N239" s="216"/>
      <c r="O239" s="213"/>
    </row>
    <row r="240" spans="1:15" ht="15.75" customHeight="1" x14ac:dyDescent="0.25">
      <c r="A240" s="194"/>
      <c r="B240" s="171"/>
      <c r="E240" s="222"/>
      <c r="F240" s="694"/>
      <c r="G240" s="168"/>
      <c r="H240" s="391"/>
      <c r="I240" s="175"/>
      <c r="J240" s="200"/>
      <c r="K240" s="216"/>
      <c r="L240" s="216"/>
      <c r="M240" s="216"/>
      <c r="N240" s="216"/>
      <c r="O240" s="213"/>
    </row>
    <row r="241" spans="1:15" ht="15.75" customHeight="1" x14ac:dyDescent="0.25">
      <c r="A241" s="194"/>
      <c r="B241" s="171"/>
      <c r="E241" s="222"/>
      <c r="F241" s="402"/>
      <c r="G241" s="168"/>
      <c r="H241" s="391"/>
      <c r="I241" s="175"/>
      <c r="J241" s="200"/>
      <c r="K241" s="216"/>
      <c r="L241" s="216"/>
      <c r="M241" s="216"/>
      <c r="N241" s="216"/>
      <c r="O241" s="213"/>
    </row>
    <row r="242" spans="1:15" ht="15.75" customHeight="1" x14ac:dyDescent="0.25">
      <c r="A242" s="194"/>
      <c r="B242" s="171"/>
      <c r="E242" s="222"/>
      <c r="F242" s="688"/>
      <c r="G242" s="168"/>
      <c r="H242" s="391"/>
      <c r="I242" s="175"/>
      <c r="J242" s="200"/>
      <c r="K242" s="216"/>
      <c r="L242" s="216"/>
      <c r="M242" s="216"/>
      <c r="N242" s="216"/>
      <c r="O242" s="213"/>
    </row>
    <row r="243" spans="1:15" ht="15.75" customHeight="1" x14ac:dyDescent="0.25">
      <c r="A243" s="194"/>
      <c r="B243" s="171"/>
      <c r="E243" s="222"/>
      <c r="F243" s="688"/>
      <c r="G243" s="168"/>
      <c r="H243" s="391"/>
      <c r="I243" s="175"/>
      <c r="J243" s="200"/>
      <c r="K243" s="216"/>
      <c r="L243" s="216"/>
      <c r="M243" s="216"/>
      <c r="N243" s="216"/>
      <c r="O243" s="213"/>
    </row>
    <row r="244" spans="1:15" ht="15.75" customHeight="1" x14ac:dyDescent="0.25">
      <c r="A244" s="194"/>
      <c r="B244" s="171"/>
      <c r="D244" s="214"/>
      <c r="E244" s="222"/>
      <c r="F244" s="405"/>
      <c r="G244" s="168"/>
      <c r="H244" s="391"/>
      <c r="I244" s="175"/>
      <c r="J244" s="200"/>
      <c r="K244" s="216"/>
      <c r="L244" s="216"/>
      <c r="M244" s="216"/>
      <c r="N244" s="216"/>
      <c r="O244" s="213"/>
    </row>
    <row r="245" spans="1:15" ht="15.75" customHeight="1" x14ac:dyDescent="0.25">
      <c r="A245" s="194"/>
      <c r="B245" s="171"/>
      <c r="E245" s="222"/>
      <c r="F245" s="694"/>
      <c r="G245" s="168"/>
      <c r="H245" s="391"/>
      <c r="I245" s="175"/>
      <c r="J245" s="200"/>
      <c r="K245" s="216"/>
      <c r="L245" s="216"/>
      <c r="M245" s="216"/>
      <c r="N245" s="216"/>
      <c r="O245" s="213"/>
    </row>
    <row r="246" spans="1:15" ht="15.75" customHeight="1" x14ac:dyDescent="0.25">
      <c r="A246" s="194"/>
      <c r="B246" s="171"/>
      <c r="E246" s="222"/>
      <c r="F246" s="402"/>
      <c r="G246" s="168"/>
      <c r="H246" s="391"/>
      <c r="I246" s="175"/>
      <c r="J246" s="200"/>
      <c r="K246" s="216"/>
      <c r="L246" s="216"/>
      <c r="M246" s="216"/>
      <c r="N246" s="216"/>
      <c r="O246" s="213"/>
    </row>
    <row r="247" spans="1:15" ht="15.75" customHeight="1" x14ac:dyDescent="0.25">
      <c r="A247" s="194"/>
      <c r="B247" s="171"/>
      <c r="E247" s="222"/>
      <c r="F247" s="403"/>
      <c r="G247" s="168"/>
      <c r="H247" s="391"/>
      <c r="I247" s="175"/>
      <c r="J247" s="200"/>
      <c r="K247" s="216"/>
      <c r="L247" s="216"/>
      <c r="M247" s="216"/>
      <c r="N247" s="216"/>
      <c r="O247" s="213"/>
    </row>
    <row r="248" spans="1:15" ht="15.75" customHeight="1" x14ac:dyDescent="0.25">
      <c r="A248" s="194"/>
      <c r="B248" s="171"/>
      <c r="E248" s="222"/>
      <c r="F248" s="403"/>
      <c r="G248" s="168"/>
      <c r="H248" s="391"/>
      <c r="I248" s="175"/>
      <c r="J248" s="200"/>
      <c r="K248" s="216"/>
      <c r="L248" s="216"/>
      <c r="M248" s="216"/>
      <c r="N248" s="216"/>
      <c r="O248" s="213"/>
    </row>
    <row r="249" spans="1:15" ht="15.75" customHeight="1" x14ac:dyDescent="0.25">
      <c r="A249" s="194"/>
      <c r="B249" s="171"/>
      <c r="E249" s="222"/>
      <c r="F249" s="403"/>
      <c r="G249" s="168"/>
      <c r="H249" s="391"/>
      <c r="I249" s="175"/>
      <c r="J249" s="200"/>
      <c r="K249" s="216"/>
      <c r="L249" s="216"/>
      <c r="M249" s="216"/>
      <c r="N249" s="216"/>
      <c r="O249" s="213"/>
    </row>
    <row r="250" spans="1:15" ht="15.75" customHeight="1" x14ac:dyDescent="0.25">
      <c r="A250" s="194"/>
      <c r="B250" s="171"/>
      <c r="E250" s="222"/>
      <c r="F250" s="403"/>
      <c r="G250" s="168"/>
      <c r="H250" s="391"/>
      <c r="I250" s="175"/>
      <c r="J250" s="200"/>
      <c r="K250" s="216"/>
      <c r="L250" s="216"/>
      <c r="M250" s="216"/>
      <c r="N250" s="216"/>
      <c r="O250" s="213"/>
    </row>
    <row r="251" spans="1:15" ht="15.75" customHeight="1" x14ac:dyDescent="0.25">
      <c r="A251" s="194"/>
      <c r="B251" s="171"/>
      <c r="E251" s="174"/>
      <c r="F251" s="403"/>
      <c r="G251" s="168"/>
      <c r="H251" s="391"/>
      <c r="I251" s="175"/>
      <c r="J251" s="200"/>
      <c r="K251" s="216"/>
      <c r="L251" s="216"/>
      <c r="M251" s="216"/>
      <c r="N251" s="216"/>
      <c r="O251" s="213"/>
    </row>
    <row r="252" spans="1:15" ht="15.75" customHeight="1" x14ac:dyDescent="0.25">
      <c r="A252" s="194"/>
      <c r="B252" s="171"/>
      <c r="E252" s="691"/>
      <c r="F252" s="563"/>
      <c r="G252" s="168"/>
      <c r="H252" s="392"/>
      <c r="I252" s="210"/>
      <c r="J252" s="200"/>
      <c r="K252" s="216"/>
      <c r="L252" s="220"/>
      <c r="M252" s="220"/>
      <c r="N252" s="220"/>
      <c r="O252" s="221"/>
    </row>
    <row r="253" spans="1:15" ht="15.75" customHeight="1" x14ac:dyDescent="0.25">
      <c r="A253" s="194"/>
      <c r="B253" s="171"/>
      <c r="D253" s="577"/>
      <c r="E253" s="584"/>
      <c r="F253" s="403"/>
      <c r="G253" s="168"/>
      <c r="H253" s="391"/>
      <c r="I253" s="580"/>
      <c r="J253" s="200"/>
      <c r="K253" s="582"/>
      <c r="L253" s="582"/>
      <c r="M253" s="582"/>
      <c r="N253" s="582"/>
      <c r="O253" s="213"/>
    </row>
    <row r="254" spans="1:15" ht="15.75" customHeight="1" x14ac:dyDescent="0.25">
      <c r="A254" s="194"/>
      <c r="B254" s="171"/>
      <c r="D254" s="577"/>
      <c r="E254" s="584"/>
      <c r="F254" s="403"/>
      <c r="G254" s="168"/>
      <c r="H254" s="391"/>
      <c r="I254" s="580"/>
      <c r="J254" s="200"/>
      <c r="K254" s="582"/>
      <c r="L254" s="582"/>
      <c r="M254" s="582"/>
      <c r="N254" s="582"/>
      <c r="O254" s="213"/>
    </row>
    <row r="255" spans="1:15" ht="15.75" customHeight="1" x14ac:dyDescent="0.25">
      <c r="A255" s="589"/>
      <c r="B255" s="590"/>
      <c r="D255" s="592"/>
      <c r="E255" s="601"/>
      <c r="F255" s="403"/>
      <c r="G255" s="168"/>
      <c r="H255" s="391"/>
      <c r="I255" s="595"/>
      <c r="J255" s="200"/>
      <c r="K255" s="597"/>
      <c r="L255" s="597"/>
      <c r="M255" s="597"/>
      <c r="N255" s="597"/>
      <c r="O255" s="213"/>
    </row>
    <row r="256" spans="1:15" ht="15.75" customHeight="1" x14ac:dyDescent="0.25">
      <c r="A256" s="194"/>
      <c r="B256" s="171"/>
      <c r="E256" s="691"/>
      <c r="F256" s="688"/>
      <c r="G256" s="168"/>
      <c r="H256" s="391"/>
      <c r="I256" s="175"/>
      <c r="J256" s="200"/>
      <c r="K256" s="216"/>
      <c r="L256" s="216"/>
      <c r="M256" s="216"/>
      <c r="N256" s="216"/>
      <c r="O256" s="213"/>
    </row>
    <row r="257" spans="1:15" ht="15.75" customHeight="1" x14ac:dyDescent="0.25">
      <c r="A257" s="194"/>
      <c r="B257" s="171"/>
      <c r="E257" s="540"/>
      <c r="F257" s="403"/>
      <c r="G257" s="168"/>
      <c r="H257" s="391"/>
      <c r="I257" s="175"/>
      <c r="J257" s="200"/>
      <c r="K257" s="216"/>
      <c r="L257" s="216"/>
      <c r="M257" s="216"/>
      <c r="N257" s="216"/>
      <c r="O257" s="213"/>
    </row>
    <row r="258" spans="1:15" ht="15.75" customHeight="1" x14ac:dyDescent="0.25">
      <c r="A258" s="194"/>
      <c r="B258" s="171"/>
      <c r="E258" s="222"/>
      <c r="F258" s="403"/>
      <c r="G258" s="168"/>
      <c r="H258" s="391"/>
      <c r="I258" s="175"/>
      <c r="J258" s="200"/>
      <c r="K258" s="216"/>
      <c r="L258" s="216"/>
      <c r="M258" s="216"/>
      <c r="N258" s="216"/>
      <c r="O258" s="213"/>
    </row>
    <row r="259" spans="1:15" ht="15.75" customHeight="1" x14ac:dyDescent="0.25">
      <c r="A259" s="194"/>
      <c r="B259" s="171"/>
      <c r="E259" s="174"/>
      <c r="F259" s="403"/>
      <c r="G259" s="168"/>
      <c r="H259" s="391"/>
      <c r="I259" s="175"/>
      <c r="J259" s="200"/>
      <c r="K259" s="216"/>
      <c r="L259" s="216"/>
      <c r="M259" s="216"/>
      <c r="N259" s="216"/>
      <c r="O259" s="213"/>
    </row>
    <row r="260" spans="1:15" ht="15.75" customHeight="1" x14ac:dyDescent="0.25">
      <c r="A260" s="194"/>
      <c r="B260" s="171"/>
      <c r="E260" s="222"/>
      <c r="F260" s="403"/>
      <c r="G260" s="168"/>
      <c r="H260" s="391"/>
      <c r="I260" s="175"/>
      <c r="J260" s="200"/>
      <c r="K260" s="216"/>
      <c r="L260" s="216"/>
      <c r="M260" s="216"/>
      <c r="N260" s="216"/>
      <c r="O260" s="213"/>
    </row>
    <row r="261" spans="1:15" ht="15.75" customHeight="1" x14ac:dyDescent="0.25">
      <c r="A261" s="194"/>
      <c r="B261" s="407"/>
      <c r="D261" s="13"/>
      <c r="E261" s="222"/>
      <c r="F261" s="403"/>
      <c r="G261" s="169"/>
      <c r="H261" s="391"/>
      <c r="I261" s="175"/>
      <c r="J261" s="200"/>
      <c r="K261" s="547"/>
      <c r="L261" s="216"/>
      <c r="M261" s="216"/>
      <c r="N261" s="216"/>
      <c r="O261" s="213"/>
    </row>
    <row r="262" spans="1:15" ht="15.75" customHeight="1" x14ac:dyDescent="0.25">
      <c r="A262" s="194"/>
      <c r="B262" s="171"/>
      <c r="E262" s="174"/>
      <c r="F262" s="688"/>
      <c r="G262" s="168"/>
      <c r="H262" s="391"/>
      <c r="I262" s="175"/>
      <c r="J262" s="200"/>
      <c r="K262" s="216"/>
      <c r="L262" s="216"/>
      <c r="M262" s="216"/>
      <c r="N262" s="216"/>
      <c r="O262" s="213"/>
    </row>
    <row r="263" spans="1:15" ht="15.75" customHeight="1" x14ac:dyDescent="0.25">
      <c r="A263" s="194"/>
      <c r="B263" s="407"/>
      <c r="D263" s="13"/>
      <c r="E263" s="222"/>
      <c r="F263" s="403"/>
      <c r="G263" s="169"/>
      <c r="H263" s="391"/>
      <c r="I263" s="175"/>
      <c r="J263" s="200"/>
      <c r="K263" s="547"/>
      <c r="L263" s="216"/>
      <c r="M263" s="216"/>
      <c r="N263" s="216"/>
      <c r="O263" s="213"/>
    </row>
    <row r="264" spans="1:15" ht="15.75" customHeight="1" x14ac:dyDescent="0.25">
      <c r="A264" s="194"/>
      <c r="B264" s="407"/>
      <c r="D264" s="13"/>
      <c r="E264" s="222"/>
      <c r="F264" s="403"/>
      <c r="G264" s="169"/>
      <c r="H264" s="391"/>
      <c r="I264" s="175"/>
      <c r="J264" s="200"/>
      <c r="K264" s="547"/>
      <c r="L264" s="216"/>
      <c r="M264" s="216"/>
      <c r="N264" s="216"/>
      <c r="O264" s="213"/>
    </row>
    <row r="265" spans="1:15" ht="15.75" customHeight="1" x14ac:dyDescent="0.25">
      <c r="A265" s="194"/>
      <c r="B265" s="407"/>
      <c r="D265" s="13"/>
      <c r="E265" s="222"/>
      <c r="F265" s="403"/>
      <c r="G265" s="169"/>
      <c r="H265" s="391"/>
      <c r="I265" s="175"/>
      <c r="J265" s="200"/>
      <c r="K265" s="547"/>
      <c r="L265" s="216"/>
      <c r="M265" s="216"/>
      <c r="N265" s="216"/>
      <c r="O265" s="213"/>
    </row>
    <row r="266" spans="1:15" ht="15.75" customHeight="1" x14ac:dyDescent="0.25">
      <c r="A266" s="194"/>
      <c r="B266" s="407"/>
      <c r="E266" s="222"/>
      <c r="F266" s="403"/>
      <c r="G266" s="168"/>
      <c r="H266" s="391"/>
      <c r="I266" s="175"/>
      <c r="J266" s="200"/>
      <c r="K266" s="547"/>
      <c r="L266" s="216"/>
      <c r="M266" s="216"/>
      <c r="N266" s="216"/>
      <c r="O266" s="213"/>
    </row>
    <row r="267" spans="1:15" ht="15.75" customHeight="1" x14ac:dyDescent="0.25">
      <c r="A267" s="194"/>
      <c r="B267" s="407"/>
      <c r="E267" s="222"/>
      <c r="F267" s="402"/>
      <c r="G267" s="168"/>
      <c r="H267" s="391"/>
      <c r="I267" s="175"/>
      <c r="J267" s="200"/>
      <c r="K267" s="547"/>
      <c r="L267" s="216"/>
      <c r="M267" s="216"/>
      <c r="N267" s="216"/>
      <c r="O267" s="213"/>
    </row>
    <row r="268" spans="1:15" ht="15.75" customHeight="1" x14ac:dyDescent="0.25">
      <c r="A268" s="194"/>
      <c r="B268" s="407"/>
      <c r="D268" s="172"/>
      <c r="E268" s="222"/>
      <c r="F268" s="694"/>
      <c r="G268" s="168"/>
      <c r="H268" s="391"/>
      <c r="I268" s="175"/>
      <c r="J268" s="200"/>
      <c r="K268" s="547"/>
      <c r="L268" s="216"/>
      <c r="M268" s="216"/>
      <c r="N268" s="216"/>
      <c r="O268" s="213"/>
    </row>
    <row r="269" spans="1:15" ht="15.75" customHeight="1" x14ac:dyDescent="0.25">
      <c r="A269" s="194"/>
      <c r="B269" s="407"/>
      <c r="D269" s="172"/>
      <c r="E269" s="222"/>
      <c r="F269" s="694"/>
      <c r="G269" s="168"/>
      <c r="H269" s="391"/>
      <c r="I269" s="175"/>
      <c r="J269" s="200"/>
      <c r="K269" s="547"/>
      <c r="L269" s="216"/>
      <c r="M269" s="216"/>
      <c r="N269" s="216"/>
      <c r="O269" s="213"/>
    </row>
    <row r="270" spans="1:15" ht="15.75" customHeight="1" x14ac:dyDescent="0.25">
      <c r="A270" s="194"/>
      <c r="B270" s="407"/>
      <c r="E270" s="222"/>
      <c r="F270" s="402"/>
      <c r="G270" s="168"/>
      <c r="H270" s="391"/>
      <c r="I270" s="175"/>
      <c r="J270" s="200"/>
      <c r="K270" s="547"/>
      <c r="L270" s="216"/>
      <c r="M270" s="216"/>
      <c r="N270" s="216"/>
      <c r="O270" s="213"/>
    </row>
    <row r="271" spans="1:15" ht="15.75" customHeight="1" x14ac:dyDescent="0.25">
      <c r="A271" s="194"/>
      <c r="B271" s="407"/>
      <c r="E271" s="222"/>
      <c r="F271" s="403"/>
      <c r="G271" s="169"/>
      <c r="H271" s="391"/>
      <c r="I271" s="175"/>
      <c r="J271" s="200"/>
      <c r="K271" s="547"/>
      <c r="L271" s="216"/>
      <c r="M271" s="216"/>
      <c r="N271" s="216"/>
      <c r="O271" s="213"/>
    </row>
    <row r="272" spans="1:15" ht="15.75" customHeight="1" x14ac:dyDescent="0.25">
      <c r="A272" s="194"/>
      <c r="B272" s="407"/>
      <c r="E272" s="222"/>
      <c r="F272" s="403"/>
      <c r="G272" s="169"/>
      <c r="H272" s="391"/>
      <c r="I272" s="175"/>
      <c r="J272" s="200"/>
      <c r="K272" s="547"/>
      <c r="L272" s="216"/>
      <c r="M272" s="216"/>
      <c r="N272" s="216"/>
      <c r="O272" s="213"/>
    </row>
    <row r="273" spans="1:15" ht="15.75" customHeight="1" x14ac:dyDescent="0.25">
      <c r="A273" s="194"/>
      <c r="B273" s="407"/>
      <c r="E273" s="222"/>
      <c r="F273" s="403"/>
      <c r="G273" s="169"/>
      <c r="H273" s="391"/>
      <c r="I273" s="175"/>
      <c r="J273" s="200"/>
      <c r="K273" s="547"/>
      <c r="L273" s="216"/>
      <c r="M273" s="216"/>
      <c r="N273" s="216"/>
      <c r="O273" s="213"/>
    </row>
    <row r="274" spans="1:15" ht="15.75" customHeight="1" x14ac:dyDescent="0.25">
      <c r="A274" s="194"/>
      <c r="B274" s="407"/>
      <c r="E274" s="222"/>
      <c r="F274" s="403"/>
      <c r="G274" s="168"/>
      <c r="H274" s="391"/>
      <c r="I274" s="175"/>
      <c r="J274" s="200"/>
      <c r="K274" s="547"/>
      <c r="L274" s="216"/>
      <c r="M274" s="216"/>
      <c r="N274" s="216"/>
      <c r="O274" s="213"/>
    </row>
    <row r="275" spans="1:15" ht="15.75" customHeight="1" x14ac:dyDescent="0.25">
      <c r="A275" s="194"/>
      <c r="B275" s="407"/>
      <c r="E275" s="222"/>
      <c r="F275" s="402"/>
      <c r="G275" s="168"/>
      <c r="H275" s="391"/>
      <c r="I275" s="175"/>
      <c r="J275" s="200"/>
      <c r="K275" s="547"/>
      <c r="L275" s="216"/>
      <c r="M275" s="216"/>
      <c r="N275" s="216"/>
      <c r="O275" s="213"/>
    </row>
    <row r="276" spans="1:15" ht="15.75" customHeight="1" x14ac:dyDescent="0.25">
      <c r="A276" s="194"/>
      <c r="B276" s="407"/>
      <c r="E276" s="222"/>
      <c r="F276" s="694"/>
      <c r="G276" s="168"/>
      <c r="H276" s="391"/>
      <c r="I276" s="175"/>
      <c r="J276" s="200"/>
      <c r="K276" s="547"/>
      <c r="L276" s="216"/>
      <c r="M276" s="216"/>
      <c r="N276" s="216"/>
      <c r="O276" s="213"/>
    </row>
    <row r="277" spans="1:15" ht="15.75" customHeight="1" x14ac:dyDescent="0.25">
      <c r="A277" s="194"/>
      <c r="B277" s="407"/>
      <c r="E277" s="222"/>
      <c r="F277" s="694"/>
      <c r="G277" s="168"/>
      <c r="H277" s="391"/>
      <c r="I277" s="175"/>
      <c r="J277" s="200"/>
      <c r="K277" s="547"/>
      <c r="L277" s="216"/>
      <c r="M277" s="216"/>
      <c r="N277" s="216"/>
      <c r="O277" s="213"/>
    </row>
    <row r="278" spans="1:15" ht="15.75" customHeight="1" x14ac:dyDescent="0.25">
      <c r="A278" s="194"/>
      <c r="B278" s="407"/>
      <c r="D278" s="172"/>
      <c r="E278" s="222"/>
      <c r="F278" s="402"/>
      <c r="G278" s="168"/>
      <c r="H278" s="391"/>
      <c r="I278" s="175"/>
      <c r="J278" s="200"/>
      <c r="K278" s="547"/>
      <c r="L278" s="216"/>
      <c r="M278" s="216"/>
      <c r="N278" s="216"/>
      <c r="O278" s="213"/>
    </row>
    <row r="279" spans="1:15" ht="15.75" customHeight="1" x14ac:dyDescent="0.25">
      <c r="A279" s="194"/>
      <c r="B279" s="407"/>
      <c r="D279" s="13"/>
      <c r="E279" s="222"/>
      <c r="F279" s="403"/>
      <c r="G279" s="169"/>
      <c r="H279" s="391"/>
      <c r="I279" s="175"/>
      <c r="J279" s="200"/>
      <c r="K279" s="547"/>
      <c r="L279" s="216"/>
      <c r="M279" s="216"/>
      <c r="N279" s="216"/>
      <c r="O279" s="213"/>
    </row>
    <row r="280" spans="1:15" ht="15.75" customHeight="1" x14ac:dyDescent="0.25">
      <c r="A280" s="194"/>
      <c r="B280" s="171"/>
      <c r="C280" s="690"/>
      <c r="D280" s="13"/>
      <c r="E280" s="222"/>
      <c r="F280" s="403"/>
      <c r="G280" s="169"/>
      <c r="H280" s="391"/>
      <c r="I280" s="175"/>
      <c r="J280" s="200"/>
      <c r="K280" s="216"/>
      <c r="L280" s="216"/>
      <c r="M280" s="216"/>
      <c r="N280" s="216"/>
      <c r="O280" s="213"/>
    </row>
    <row r="281" spans="1:15" ht="15.75" customHeight="1" x14ac:dyDescent="0.25">
      <c r="A281" s="194"/>
      <c r="B281" s="171"/>
      <c r="C281" s="690"/>
      <c r="D281" s="13"/>
      <c r="E281" s="222"/>
      <c r="F281" s="403"/>
      <c r="G281" s="169"/>
      <c r="H281" s="391"/>
      <c r="I281" s="175"/>
      <c r="J281" s="200"/>
      <c r="K281" s="216"/>
      <c r="L281" s="216"/>
      <c r="M281" s="216"/>
      <c r="N281" s="216"/>
      <c r="O281" s="213"/>
    </row>
    <row r="282" spans="1:15" ht="15.75" customHeight="1" x14ac:dyDescent="0.25">
      <c r="A282" s="194"/>
      <c r="B282" s="171"/>
      <c r="E282" s="174"/>
      <c r="F282" s="403"/>
      <c r="G282" s="168"/>
      <c r="H282" s="391"/>
      <c r="I282" s="175"/>
      <c r="J282" s="200"/>
      <c r="K282" s="216"/>
      <c r="L282" s="216"/>
      <c r="M282" s="216"/>
      <c r="N282" s="216"/>
      <c r="O282" s="213"/>
    </row>
    <row r="283" spans="1:15" ht="15.75" customHeight="1" x14ac:dyDescent="0.25">
      <c r="A283" s="194"/>
      <c r="B283" s="171"/>
      <c r="E283" s="222"/>
      <c r="F283" s="403"/>
      <c r="G283" s="168"/>
      <c r="H283" s="391"/>
      <c r="I283" s="175"/>
      <c r="J283" s="200"/>
      <c r="K283" s="216"/>
      <c r="L283" s="216"/>
      <c r="M283" s="216"/>
      <c r="N283" s="216"/>
      <c r="O283" s="213"/>
    </row>
    <row r="284" spans="1:15" ht="15.75" customHeight="1" x14ac:dyDescent="0.25">
      <c r="A284" s="194"/>
      <c r="B284" s="171"/>
      <c r="E284" s="222"/>
      <c r="F284" s="403"/>
      <c r="G284" s="168"/>
      <c r="H284" s="391"/>
      <c r="I284" s="175"/>
      <c r="J284" s="200"/>
      <c r="K284" s="216"/>
      <c r="L284" s="216"/>
      <c r="M284" s="216"/>
      <c r="N284" s="216"/>
      <c r="O284" s="213"/>
    </row>
    <row r="285" spans="1:15" ht="15.75" customHeight="1" x14ac:dyDescent="0.25">
      <c r="A285" s="194"/>
      <c r="B285" s="407"/>
      <c r="D285" s="13"/>
      <c r="E285" s="222"/>
      <c r="F285" s="403"/>
      <c r="G285" s="169"/>
      <c r="H285" s="391"/>
      <c r="I285" s="175"/>
      <c r="J285" s="200"/>
      <c r="K285" s="547"/>
      <c r="L285" s="216"/>
      <c r="M285" s="216"/>
      <c r="N285" s="216"/>
      <c r="O285" s="213"/>
    </row>
    <row r="286" spans="1:15" ht="15.75" customHeight="1" x14ac:dyDescent="0.25">
      <c r="A286" s="194"/>
      <c r="B286" s="407"/>
      <c r="E286" s="222"/>
      <c r="F286" s="403"/>
      <c r="G286" s="169"/>
      <c r="H286" s="391"/>
      <c r="I286" s="175"/>
      <c r="J286" s="200"/>
      <c r="K286" s="547"/>
      <c r="L286" s="216"/>
      <c r="M286" s="216"/>
      <c r="N286" s="216"/>
      <c r="O286" s="213"/>
    </row>
    <row r="287" spans="1:15" ht="15.75" customHeight="1" x14ac:dyDescent="0.25">
      <c r="A287" s="194"/>
      <c r="B287" s="171"/>
      <c r="E287" s="222"/>
      <c r="F287" s="402"/>
      <c r="G287" s="168"/>
      <c r="H287" s="391"/>
      <c r="I287" s="175"/>
      <c r="J287" s="200"/>
      <c r="K287" s="547"/>
      <c r="L287" s="216"/>
      <c r="M287" s="216"/>
      <c r="N287" s="216"/>
      <c r="O287" s="213"/>
    </row>
    <row r="288" spans="1:15" ht="15.75" customHeight="1" x14ac:dyDescent="0.25">
      <c r="A288" s="194"/>
      <c r="B288" s="407"/>
      <c r="D288" s="13"/>
      <c r="E288" s="222"/>
      <c r="F288" s="403"/>
      <c r="G288" s="169"/>
      <c r="H288" s="391"/>
      <c r="I288" s="175"/>
      <c r="J288" s="200"/>
      <c r="K288" s="547"/>
      <c r="L288" s="216"/>
      <c r="M288" s="216"/>
      <c r="N288" s="216"/>
      <c r="O288" s="213"/>
    </row>
    <row r="289" spans="1:15" ht="15.75" customHeight="1" x14ac:dyDescent="0.25">
      <c r="A289" s="194"/>
      <c r="B289" s="407"/>
      <c r="E289" s="222"/>
      <c r="F289" s="403"/>
      <c r="G289" s="169"/>
      <c r="H289" s="391"/>
      <c r="I289" s="175"/>
      <c r="J289" s="200"/>
      <c r="K289" s="547"/>
      <c r="L289" s="216"/>
      <c r="M289" s="216"/>
      <c r="N289" s="216"/>
      <c r="O289" s="213"/>
    </row>
    <row r="290" spans="1:15" ht="15.75" customHeight="1" x14ac:dyDescent="0.25">
      <c r="A290" s="194"/>
      <c r="B290" s="171"/>
      <c r="E290" s="174"/>
      <c r="F290" s="402"/>
      <c r="G290" s="168"/>
      <c r="H290" s="391"/>
      <c r="I290" s="175"/>
      <c r="J290" s="200"/>
      <c r="K290" s="547"/>
      <c r="L290" s="216"/>
      <c r="M290" s="216"/>
      <c r="N290" s="216"/>
      <c r="O290" s="213"/>
    </row>
    <row r="291" spans="1:15" ht="15.75" customHeight="1" x14ac:dyDescent="0.25">
      <c r="A291" s="194"/>
      <c r="B291" s="171"/>
      <c r="E291" s="222"/>
      <c r="F291" s="402"/>
      <c r="G291" s="168"/>
      <c r="H291" s="391"/>
      <c r="I291" s="175"/>
      <c r="J291" s="200"/>
      <c r="K291" s="547"/>
      <c r="L291" s="216"/>
      <c r="M291" s="216"/>
      <c r="N291" s="216"/>
      <c r="O291" s="213"/>
    </row>
    <row r="292" spans="1:15" ht="15.75" customHeight="1" x14ac:dyDescent="0.25">
      <c r="A292" s="194"/>
      <c r="B292" s="171"/>
      <c r="D292" s="577"/>
      <c r="E292" s="578"/>
      <c r="F292" s="403"/>
      <c r="G292" s="168"/>
      <c r="H292" s="391"/>
      <c r="I292" s="580"/>
      <c r="J292" s="200"/>
      <c r="K292" s="582"/>
      <c r="L292" s="582"/>
      <c r="M292" s="582"/>
      <c r="N292" s="582"/>
      <c r="O292" s="213"/>
    </row>
    <row r="293" spans="1:15" ht="15.75" customHeight="1" x14ac:dyDescent="0.25">
      <c r="A293" s="194"/>
      <c r="B293" s="171"/>
      <c r="D293" s="592"/>
      <c r="E293" s="593"/>
      <c r="F293" s="403"/>
      <c r="G293" s="168"/>
      <c r="H293" s="391"/>
      <c r="I293" s="595"/>
      <c r="J293" s="200"/>
      <c r="K293" s="216"/>
      <c r="L293" s="216"/>
      <c r="M293" s="216"/>
      <c r="N293" s="597"/>
      <c r="O293" s="213"/>
    </row>
    <row r="294" spans="1:15" ht="15.75" customHeight="1" x14ac:dyDescent="0.25">
      <c r="A294" s="194"/>
      <c r="B294" s="171"/>
      <c r="D294" s="577"/>
      <c r="E294" s="578"/>
      <c r="F294" s="403"/>
      <c r="G294" s="168"/>
      <c r="H294" s="391"/>
      <c r="I294" s="580"/>
      <c r="J294" s="200"/>
      <c r="K294" s="582"/>
      <c r="L294" s="582"/>
      <c r="M294" s="582"/>
      <c r="N294" s="582"/>
      <c r="O294" s="213"/>
    </row>
    <row r="295" spans="1:15" ht="15.75" customHeight="1" x14ac:dyDescent="0.25">
      <c r="A295" s="194"/>
      <c r="B295" s="171"/>
      <c r="D295" s="592"/>
      <c r="E295" s="593"/>
      <c r="F295" s="403"/>
      <c r="G295" s="168"/>
      <c r="H295" s="391"/>
      <c r="I295" s="595"/>
      <c r="J295" s="200"/>
      <c r="K295" s="597"/>
      <c r="L295" s="597"/>
      <c r="M295" s="597"/>
      <c r="N295" s="597"/>
      <c r="O295" s="213"/>
    </row>
    <row r="296" spans="1:15" ht="15.75" customHeight="1" x14ac:dyDescent="0.25">
      <c r="A296" s="194"/>
      <c r="B296" s="171"/>
      <c r="D296" s="592"/>
      <c r="E296" s="593"/>
      <c r="F296" s="403"/>
      <c r="G296" s="168"/>
      <c r="H296" s="391"/>
      <c r="I296" s="595"/>
      <c r="J296" s="200"/>
      <c r="K296" s="597"/>
      <c r="L296" s="597"/>
      <c r="M296" s="597"/>
      <c r="N296" s="597"/>
      <c r="O296" s="213"/>
    </row>
    <row r="297" spans="1:15" ht="15.75" customHeight="1" x14ac:dyDescent="0.25">
      <c r="A297" s="589"/>
      <c r="B297" s="590"/>
      <c r="D297" s="592"/>
      <c r="E297" s="593"/>
      <c r="F297" s="403"/>
      <c r="G297" s="168"/>
      <c r="H297" s="391"/>
      <c r="I297" s="595"/>
      <c r="J297" s="200"/>
      <c r="K297" s="597"/>
      <c r="L297" s="597"/>
      <c r="M297" s="597"/>
      <c r="N297" s="597"/>
      <c r="O297" s="213"/>
    </row>
    <row r="298" spans="1:15" ht="15.75" customHeight="1" x14ac:dyDescent="0.25">
      <c r="A298" s="194"/>
      <c r="B298" s="171"/>
      <c r="D298" s="592"/>
      <c r="E298" s="593"/>
      <c r="F298" s="403"/>
      <c r="G298" s="168"/>
      <c r="H298" s="391"/>
      <c r="I298" s="595"/>
      <c r="J298" s="200"/>
      <c r="K298" s="597"/>
      <c r="L298" s="597"/>
      <c r="M298" s="597"/>
      <c r="N298" s="597"/>
      <c r="O298" s="213"/>
    </row>
    <row r="299" spans="1:15" ht="15.75" customHeight="1" x14ac:dyDescent="0.25">
      <c r="A299" s="194"/>
      <c r="B299" s="171"/>
      <c r="D299" s="592"/>
      <c r="E299" s="593"/>
      <c r="F299" s="403"/>
      <c r="G299" s="168"/>
      <c r="H299" s="391"/>
      <c r="I299" s="595"/>
      <c r="J299" s="200"/>
      <c r="K299" s="597"/>
      <c r="L299" s="597"/>
      <c r="M299" s="597"/>
      <c r="N299" s="597"/>
      <c r="O299" s="213"/>
    </row>
    <row r="300" spans="1:15" ht="15.75" customHeight="1" x14ac:dyDescent="0.25">
      <c r="A300" s="194"/>
      <c r="B300" s="171"/>
      <c r="D300" s="592"/>
      <c r="E300" s="593"/>
      <c r="F300" s="403"/>
      <c r="G300" s="168"/>
      <c r="H300" s="391"/>
      <c r="I300" s="595"/>
      <c r="J300" s="200"/>
      <c r="K300" s="597"/>
      <c r="L300" s="597"/>
      <c r="M300" s="597"/>
      <c r="N300" s="597"/>
      <c r="O300" s="213"/>
    </row>
    <row r="301" spans="1:15" ht="15.75" customHeight="1" x14ac:dyDescent="0.25">
      <c r="A301" s="194"/>
      <c r="B301" s="171"/>
      <c r="D301" s="592"/>
      <c r="E301" s="593"/>
      <c r="F301" s="403"/>
      <c r="G301" s="168"/>
      <c r="H301" s="391"/>
      <c r="I301" s="595"/>
      <c r="J301" s="200"/>
      <c r="K301" s="597"/>
      <c r="L301" s="597"/>
      <c r="M301" s="597"/>
      <c r="N301" s="597"/>
      <c r="O301" s="213"/>
    </row>
    <row r="302" spans="1:15" ht="15.75" customHeight="1" x14ac:dyDescent="0.25">
      <c r="A302" s="194"/>
      <c r="B302" s="171"/>
      <c r="D302" s="592"/>
      <c r="E302" s="593"/>
      <c r="F302" s="403"/>
      <c r="G302" s="168"/>
      <c r="H302" s="391"/>
      <c r="I302" s="595"/>
      <c r="J302" s="200"/>
      <c r="K302" s="597"/>
      <c r="L302" s="597"/>
      <c r="M302" s="597"/>
      <c r="N302" s="597"/>
      <c r="O302" s="213"/>
    </row>
    <row r="303" spans="1:15" ht="15.75" customHeight="1" x14ac:dyDescent="0.25">
      <c r="A303" s="194"/>
      <c r="B303" s="171"/>
      <c r="D303" s="592"/>
      <c r="E303" s="593"/>
      <c r="F303" s="403"/>
      <c r="G303" s="168"/>
      <c r="H303" s="391"/>
      <c r="I303" s="595"/>
      <c r="J303" s="200"/>
      <c r="K303" s="597"/>
      <c r="L303" s="597"/>
      <c r="M303" s="597"/>
      <c r="N303" s="597"/>
      <c r="O303" s="213"/>
    </row>
    <row r="304" spans="1:15" ht="15.75" customHeight="1" x14ac:dyDescent="0.25">
      <c r="A304" s="194"/>
      <c r="B304" s="171"/>
      <c r="D304" s="592"/>
      <c r="E304" s="593"/>
      <c r="F304" s="403"/>
      <c r="G304" s="168"/>
      <c r="H304" s="391"/>
      <c r="I304" s="595"/>
      <c r="J304" s="200"/>
      <c r="K304" s="597"/>
      <c r="L304" s="597"/>
      <c r="M304" s="597"/>
      <c r="N304" s="597"/>
      <c r="O304" s="213"/>
    </row>
    <row r="305" spans="1:15" ht="15.75" customHeight="1" x14ac:dyDescent="0.25">
      <c r="A305" s="194"/>
      <c r="B305" s="171"/>
      <c r="D305" s="592"/>
      <c r="E305" s="593"/>
      <c r="F305" s="403"/>
      <c r="G305" s="168"/>
      <c r="H305" s="391"/>
      <c r="I305" s="595"/>
      <c r="J305" s="200"/>
      <c r="K305" s="597"/>
      <c r="L305" s="597"/>
      <c r="M305" s="597"/>
      <c r="N305" s="597"/>
      <c r="O305" s="213"/>
    </row>
    <row r="306" spans="1:15" ht="15.75" customHeight="1" x14ac:dyDescent="0.25">
      <c r="A306" s="194"/>
      <c r="B306" s="171"/>
      <c r="D306" s="592"/>
      <c r="E306" s="593"/>
      <c r="F306" s="403"/>
      <c r="G306" s="168"/>
      <c r="H306" s="391"/>
      <c r="I306" s="595"/>
      <c r="J306" s="200"/>
      <c r="K306" s="597"/>
      <c r="L306" s="597"/>
      <c r="M306" s="597"/>
      <c r="N306" s="597"/>
      <c r="O306" s="213"/>
    </row>
    <row r="307" spans="1:15" ht="15.75" customHeight="1" x14ac:dyDescent="0.25">
      <c r="A307" s="194"/>
      <c r="B307" s="171"/>
      <c r="D307" s="577"/>
      <c r="E307" s="578"/>
      <c r="F307" s="403"/>
      <c r="G307" s="168"/>
      <c r="H307" s="391"/>
      <c r="I307" s="580"/>
      <c r="J307" s="200"/>
      <c r="K307" s="582"/>
      <c r="L307" s="582"/>
      <c r="M307" s="582"/>
      <c r="N307" s="582"/>
      <c r="O307" s="213"/>
    </row>
    <row r="308" spans="1:15" ht="15.75" customHeight="1" x14ac:dyDescent="0.25">
      <c r="A308" s="194"/>
      <c r="B308" s="171"/>
      <c r="D308" s="592"/>
      <c r="E308" s="593"/>
      <c r="F308" s="403"/>
      <c r="G308" s="168"/>
      <c r="H308" s="391"/>
      <c r="I308" s="595"/>
      <c r="J308" s="200"/>
      <c r="K308" s="597"/>
      <c r="L308" s="597"/>
      <c r="M308" s="597"/>
      <c r="N308" s="597"/>
      <c r="O308" s="213"/>
    </row>
    <row r="309" spans="1:15" ht="15.75" customHeight="1" x14ac:dyDescent="0.25">
      <c r="A309" s="589"/>
      <c r="B309" s="590"/>
      <c r="D309" s="592"/>
      <c r="E309" s="222"/>
      <c r="F309" s="403"/>
      <c r="G309" s="168"/>
      <c r="H309" s="391"/>
      <c r="I309" s="595"/>
      <c r="J309" s="200"/>
      <c r="K309" s="597"/>
      <c r="L309" s="597"/>
      <c r="M309" s="597"/>
      <c r="N309" s="597"/>
      <c r="O309" s="213"/>
    </row>
    <row r="310" spans="1:15" ht="15.75" customHeight="1" x14ac:dyDescent="0.25">
      <c r="A310" s="194"/>
      <c r="B310" s="171"/>
      <c r="D310" s="577"/>
      <c r="E310" s="578"/>
      <c r="F310" s="403"/>
      <c r="G310" s="168"/>
      <c r="H310" s="391"/>
      <c r="I310" s="580"/>
      <c r="J310" s="200"/>
      <c r="K310" s="582"/>
      <c r="L310" s="582"/>
      <c r="M310" s="582"/>
      <c r="N310" s="582"/>
      <c r="O310" s="213"/>
    </row>
    <row r="311" spans="1:15" ht="15.75" customHeight="1" x14ac:dyDescent="0.25">
      <c r="A311" s="194"/>
      <c r="B311" s="171"/>
      <c r="D311" s="577"/>
      <c r="E311" s="578"/>
      <c r="F311" s="403"/>
      <c r="G311" s="168"/>
      <c r="H311" s="391"/>
      <c r="I311" s="580"/>
      <c r="J311" s="200"/>
      <c r="K311" s="582"/>
      <c r="L311" s="582"/>
      <c r="M311" s="582"/>
      <c r="N311" s="582"/>
      <c r="O311" s="213"/>
    </row>
    <row r="312" spans="1:15" ht="15.75" customHeight="1" x14ac:dyDescent="0.25">
      <c r="A312" s="194"/>
      <c r="B312" s="171"/>
      <c r="D312" s="592"/>
      <c r="E312" s="593"/>
      <c r="F312" s="403"/>
      <c r="G312" s="168"/>
      <c r="H312" s="391"/>
      <c r="I312" s="595"/>
      <c r="J312" s="200"/>
      <c r="K312" s="597"/>
      <c r="L312" s="597"/>
      <c r="M312" s="597"/>
      <c r="N312" s="597"/>
      <c r="O312" s="213"/>
    </row>
    <row r="313" spans="1:15" ht="15.75" customHeight="1" x14ac:dyDescent="0.25">
      <c r="A313" s="589"/>
      <c r="B313" s="590"/>
      <c r="D313" s="592"/>
      <c r="E313" s="593"/>
      <c r="F313" s="403"/>
      <c r="G313" s="168"/>
      <c r="H313" s="391"/>
      <c r="I313" s="595"/>
      <c r="J313" s="200"/>
      <c r="K313" s="597"/>
      <c r="L313" s="597"/>
      <c r="M313" s="597"/>
      <c r="N313" s="597"/>
      <c r="O313" s="213"/>
    </row>
    <row r="314" spans="1:15" ht="15.75" customHeight="1" x14ac:dyDescent="0.25">
      <c r="A314" s="194"/>
      <c r="B314" s="171"/>
      <c r="D314" s="592"/>
      <c r="E314" s="593"/>
      <c r="F314" s="403"/>
      <c r="G314" s="168"/>
      <c r="H314" s="391"/>
      <c r="I314" s="595"/>
      <c r="J314" s="200"/>
      <c r="K314" s="597"/>
      <c r="L314" s="597"/>
      <c r="M314" s="597"/>
      <c r="N314" s="597"/>
      <c r="O314" s="213"/>
    </row>
    <row r="315" spans="1:15" ht="15.75" customHeight="1" x14ac:dyDescent="0.25">
      <c r="A315" s="194"/>
      <c r="B315" s="171"/>
      <c r="D315" s="577"/>
      <c r="E315" s="578"/>
      <c r="F315" s="403"/>
      <c r="G315" s="168"/>
      <c r="H315" s="391"/>
      <c r="I315" s="580"/>
      <c r="J315" s="200"/>
      <c r="K315" s="582"/>
      <c r="L315" s="582"/>
      <c r="M315" s="582"/>
      <c r="N315" s="582"/>
      <c r="O315" s="213"/>
    </row>
    <row r="316" spans="1:15" ht="15.75" customHeight="1" x14ac:dyDescent="0.25">
      <c r="A316" s="589"/>
      <c r="B316" s="590"/>
      <c r="D316" s="592"/>
      <c r="E316" s="593"/>
      <c r="F316" s="403"/>
      <c r="G316" s="168"/>
      <c r="H316" s="391"/>
      <c r="I316" s="595"/>
      <c r="J316" s="200"/>
      <c r="K316" s="597"/>
      <c r="L316" s="597"/>
      <c r="M316" s="597"/>
      <c r="N316" s="597"/>
      <c r="O316" s="213"/>
    </row>
    <row r="317" spans="1:15" ht="15.75" customHeight="1" x14ac:dyDescent="0.25">
      <c r="A317" s="194"/>
      <c r="B317" s="171"/>
      <c r="D317" s="592"/>
      <c r="E317" s="593"/>
      <c r="F317" s="403"/>
      <c r="G317" s="168"/>
      <c r="H317" s="391"/>
      <c r="I317" s="595"/>
      <c r="J317" s="200"/>
      <c r="K317" s="216"/>
      <c r="L317" s="597"/>
      <c r="M317" s="597"/>
      <c r="N317" s="597"/>
      <c r="O317" s="213"/>
    </row>
    <row r="318" spans="1:15" ht="15.75" customHeight="1" x14ac:dyDescent="0.25">
      <c r="A318" s="194"/>
      <c r="B318" s="171"/>
      <c r="E318" s="222"/>
      <c r="F318" s="403"/>
      <c r="G318" s="168"/>
      <c r="H318" s="391"/>
      <c r="I318" s="175"/>
      <c r="J318" s="200"/>
      <c r="K318" s="216"/>
      <c r="L318" s="216"/>
      <c r="M318" s="216"/>
      <c r="N318" s="216"/>
      <c r="O318" s="213"/>
    </row>
    <row r="319" spans="1:15" ht="15.75" customHeight="1" x14ac:dyDescent="0.25">
      <c r="A319" s="194"/>
      <c r="B319" s="171"/>
      <c r="E319" s="222"/>
      <c r="F319" s="402"/>
      <c r="G319" s="168"/>
      <c r="H319" s="391"/>
      <c r="I319" s="175"/>
      <c r="J319" s="200"/>
      <c r="K319" s="216"/>
      <c r="L319" s="216"/>
      <c r="M319" s="216"/>
      <c r="N319" s="216"/>
      <c r="O319" s="213"/>
    </row>
    <row r="320" spans="1:15" ht="15.75" customHeight="1" x14ac:dyDescent="0.25">
      <c r="A320" s="194"/>
      <c r="B320" s="171"/>
      <c r="D320" s="214"/>
      <c r="E320" s="174"/>
      <c r="F320" s="404"/>
      <c r="G320" s="168"/>
      <c r="H320" s="391"/>
      <c r="I320" s="175"/>
      <c r="J320" s="200"/>
      <c r="K320" s="547"/>
      <c r="L320" s="216"/>
      <c r="M320" s="216"/>
      <c r="N320" s="216"/>
      <c r="O320" s="213"/>
    </row>
    <row r="321" spans="1:15" ht="15.75" customHeight="1" x14ac:dyDescent="0.25">
      <c r="A321" s="194"/>
      <c r="B321" s="171"/>
      <c r="E321" s="174"/>
      <c r="F321" s="402"/>
      <c r="G321" s="168"/>
      <c r="H321" s="391"/>
      <c r="I321" s="175"/>
      <c r="J321" s="200"/>
      <c r="K321" s="216"/>
      <c r="L321" s="216"/>
      <c r="M321" s="216"/>
      <c r="N321" s="216"/>
      <c r="O321" s="213"/>
    </row>
    <row r="322" spans="1:15" ht="15.75" customHeight="1" x14ac:dyDescent="0.25">
      <c r="A322" s="194"/>
      <c r="B322" s="171"/>
      <c r="E322" s="222"/>
      <c r="F322" s="403"/>
      <c r="G322" s="168"/>
      <c r="H322" s="391"/>
      <c r="I322" s="175"/>
      <c r="J322" s="200"/>
      <c r="K322" s="216"/>
      <c r="L322" s="216"/>
      <c r="M322" s="216"/>
      <c r="N322" s="216"/>
      <c r="O322" s="213"/>
    </row>
    <row r="323" spans="1:15" ht="15.75" customHeight="1" x14ac:dyDescent="0.25">
      <c r="A323" s="589"/>
      <c r="B323" s="590"/>
      <c r="D323" s="592"/>
      <c r="E323" s="593"/>
      <c r="F323" s="403"/>
      <c r="G323" s="168"/>
      <c r="H323" s="391"/>
      <c r="I323" s="595"/>
      <c r="J323" s="200"/>
      <c r="K323" s="597"/>
      <c r="L323" s="597"/>
      <c r="M323" s="597"/>
      <c r="N323" s="597"/>
      <c r="O323" s="213"/>
    </row>
    <row r="324" spans="1:15" ht="15.75" customHeight="1" x14ac:dyDescent="0.25">
      <c r="A324" s="194"/>
      <c r="B324" s="171"/>
      <c r="D324" s="689"/>
      <c r="E324" s="222"/>
      <c r="F324" s="688"/>
      <c r="G324" s="168"/>
      <c r="H324" s="391"/>
      <c r="I324" s="546"/>
      <c r="J324" s="200"/>
      <c r="K324" s="547"/>
      <c r="L324" s="547"/>
      <c r="M324" s="547"/>
      <c r="N324" s="547"/>
      <c r="O324" s="213"/>
    </row>
    <row r="325" spans="1:15" ht="15.75" customHeight="1" x14ac:dyDescent="0.25">
      <c r="A325" s="589"/>
      <c r="B325" s="590"/>
      <c r="D325" s="592"/>
      <c r="E325" s="593"/>
      <c r="F325" s="403"/>
      <c r="G325" s="168"/>
      <c r="H325" s="391"/>
      <c r="I325" s="595"/>
      <c r="J325" s="200"/>
      <c r="K325" s="597"/>
      <c r="L325" s="597"/>
      <c r="M325" s="597"/>
      <c r="N325" s="597"/>
      <c r="O325" s="213"/>
    </row>
    <row r="326" spans="1:15" ht="15.75" customHeight="1" x14ac:dyDescent="0.25">
      <c r="A326" s="589"/>
      <c r="B326" s="590"/>
      <c r="D326" s="592"/>
      <c r="E326" s="593"/>
      <c r="F326" s="403"/>
      <c r="G326" s="168"/>
      <c r="H326" s="391"/>
      <c r="I326" s="595"/>
      <c r="J326" s="200"/>
      <c r="K326" s="597"/>
      <c r="L326" s="597"/>
      <c r="M326" s="597"/>
      <c r="N326" s="597"/>
      <c r="O326" s="213"/>
    </row>
    <row r="327" spans="1:15" ht="15.75" customHeight="1" x14ac:dyDescent="0.25">
      <c r="A327" s="589"/>
      <c r="B327" s="590"/>
      <c r="D327" s="592"/>
      <c r="E327" s="593"/>
      <c r="F327" s="403"/>
      <c r="G327" s="168"/>
      <c r="H327" s="391"/>
      <c r="I327" s="595"/>
      <c r="J327" s="200"/>
      <c r="K327" s="597"/>
      <c r="L327" s="597"/>
      <c r="M327" s="597"/>
      <c r="N327" s="597"/>
      <c r="O327" s="213"/>
    </row>
    <row r="328" spans="1:15" ht="15.75" customHeight="1" x14ac:dyDescent="0.25">
      <c r="A328" s="589"/>
      <c r="B328" s="590"/>
      <c r="D328" s="592"/>
      <c r="E328" s="593"/>
      <c r="F328" s="594"/>
      <c r="G328" s="168"/>
      <c r="H328" s="391"/>
      <c r="I328" s="595"/>
      <c r="J328" s="200"/>
      <c r="K328" s="597"/>
      <c r="L328" s="597"/>
      <c r="M328" s="597"/>
      <c r="N328" s="597"/>
      <c r="O328" s="213"/>
    </row>
    <row r="329" spans="1:15" ht="15.75" customHeight="1" x14ac:dyDescent="0.25">
      <c r="A329" s="589"/>
      <c r="B329" s="590"/>
      <c r="D329" s="592"/>
      <c r="E329" s="593"/>
      <c r="F329" s="594"/>
      <c r="G329" s="168"/>
      <c r="H329" s="391"/>
      <c r="I329" s="595"/>
      <c r="J329" s="200"/>
      <c r="K329" s="597"/>
      <c r="L329" s="597"/>
      <c r="M329" s="597"/>
      <c r="N329" s="597"/>
      <c r="O329" s="213"/>
    </row>
    <row r="330" spans="1:15" ht="15.75" customHeight="1" x14ac:dyDescent="0.25">
      <c r="A330" s="194"/>
      <c r="B330" s="171"/>
      <c r="D330" s="577"/>
      <c r="E330" s="578"/>
      <c r="F330" s="403"/>
      <c r="G330" s="168"/>
      <c r="H330" s="391"/>
      <c r="I330" s="580"/>
      <c r="J330" s="200"/>
      <c r="K330" s="582"/>
      <c r="L330" s="582"/>
      <c r="M330" s="582"/>
      <c r="N330" s="582"/>
      <c r="O330" s="213"/>
    </row>
    <row r="331" spans="1:15" ht="15.75" customHeight="1" x14ac:dyDescent="0.25">
      <c r="A331" s="194"/>
      <c r="B331" s="171"/>
      <c r="D331" s="577"/>
      <c r="E331" s="578"/>
      <c r="F331" s="403"/>
      <c r="G331" s="168"/>
      <c r="H331" s="391"/>
      <c r="I331" s="580"/>
      <c r="J331" s="200"/>
      <c r="K331" s="582"/>
      <c r="L331" s="582"/>
      <c r="M331" s="582"/>
      <c r="N331" s="582"/>
      <c r="O331" s="213"/>
    </row>
    <row r="332" spans="1:15" ht="15.75" customHeight="1" x14ac:dyDescent="0.25">
      <c r="A332" s="194"/>
      <c r="B332" s="687"/>
      <c r="D332" s="689"/>
      <c r="E332" s="222"/>
      <c r="F332" s="688"/>
      <c r="G332" s="168"/>
      <c r="H332" s="391"/>
      <c r="I332" s="546"/>
      <c r="J332" s="200"/>
      <c r="K332" s="547"/>
      <c r="L332" s="547"/>
      <c r="M332" s="547"/>
      <c r="N332" s="547"/>
      <c r="O332" s="213"/>
    </row>
    <row r="333" spans="1:15" ht="15.75" customHeight="1" x14ac:dyDescent="0.25">
      <c r="A333" s="194"/>
      <c r="B333" s="687"/>
      <c r="D333" s="695"/>
      <c r="E333" s="222"/>
      <c r="F333" s="688"/>
      <c r="G333" s="168"/>
      <c r="H333" s="391"/>
      <c r="I333" s="559"/>
      <c r="J333" s="200"/>
      <c r="K333" s="547"/>
      <c r="L333" s="560"/>
      <c r="M333" s="560"/>
      <c r="N333" s="560"/>
      <c r="O333" s="213"/>
    </row>
    <row r="334" spans="1:15" ht="15.75" customHeight="1" x14ac:dyDescent="0.25">
      <c r="A334" s="194"/>
      <c r="B334" s="171"/>
      <c r="C334" s="690"/>
      <c r="D334" s="13"/>
      <c r="E334" s="222"/>
      <c r="F334" s="403"/>
      <c r="G334" s="169"/>
      <c r="H334" s="391"/>
      <c r="I334" s="175"/>
      <c r="J334" s="200"/>
      <c r="K334" s="216"/>
      <c r="L334" s="216"/>
      <c r="M334" s="216"/>
      <c r="N334" s="216"/>
      <c r="O334" s="213"/>
    </row>
    <row r="335" spans="1:15" ht="15.75" customHeight="1" x14ac:dyDescent="0.25">
      <c r="A335" s="589"/>
      <c r="B335" s="590"/>
      <c r="D335" s="592"/>
      <c r="E335" s="593"/>
      <c r="F335" s="403"/>
      <c r="G335" s="168"/>
      <c r="H335" s="391"/>
      <c r="I335" s="595"/>
      <c r="J335" s="200"/>
      <c r="K335" s="597"/>
      <c r="L335" s="597"/>
      <c r="M335" s="597"/>
      <c r="N335" s="597"/>
      <c r="O335" s="213"/>
    </row>
    <row r="336" spans="1:15" ht="15.75" customHeight="1" x14ac:dyDescent="0.25">
      <c r="A336" s="589"/>
      <c r="B336" s="590"/>
      <c r="D336" s="592"/>
      <c r="E336" s="593"/>
      <c r="F336" s="403"/>
      <c r="G336" s="168"/>
      <c r="H336" s="391"/>
      <c r="I336" s="595"/>
      <c r="J336" s="200"/>
      <c r="K336" s="597"/>
      <c r="L336" s="597"/>
      <c r="M336" s="597"/>
      <c r="N336" s="597"/>
      <c r="O336" s="213"/>
    </row>
    <row r="337" spans="1:15" ht="15.75" customHeight="1" x14ac:dyDescent="0.25">
      <c r="A337" s="194"/>
      <c r="B337" s="171"/>
      <c r="D337" s="592"/>
      <c r="E337" s="593"/>
      <c r="F337" s="403"/>
      <c r="G337" s="168"/>
      <c r="H337" s="391"/>
      <c r="I337" s="595"/>
      <c r="J337" s="200"/>
      <c r="K337" s="597"/>
      <c r="L337" s="597"/>
      <c r="M337" s="597"/>
      <c r="N337" s="597"/>
      <c r="O337" s="213"/>
    </row>
    <row r="338" spans="1:15" ht="15.75" customHeight="1" x14ac:dyDescent="0.25">
      <c r="A338" s="194"/>
      <c r="B338" s="171"/>
      <c r="E338" s="222"/>
      <c r="F338" s="403"/>
      <c r="G338" s="168"/>
      <c r="H338" s="391"/>
      <c r="I338" s="175"/>
      <c r="J338" s="200"/>
      <c r="K338" s="216"/>
      <c r="L338" s="216"/>
      <c r="M338" s="216"/>
      <c r="N338" s="216"/>
      <c r="O338" s="213"/>
    </row>
    <row r="339" spans="1:15" ht="15.75" customHeight="1" x14ac:dyDescent="0.25">
      <c r="A339" s="194"/>
      <c r="B339" s="171"/>
      <c r="E339" s="222"/>
      <c r="F339" s="403"/>
      <c r="G339" s="168"/>
      <c r="H339" s="391"/>
      <c r="I339" s="175"/>
      <c r="J339" s="200"/>
      <c r="K339" s="216"/>
      <c r="L339" s="216"/>
      <c r="M339" s="216"/>
      <c r="N339" s="216"/>
      <c r="O339" s="213"/>
    </row>
    <row r="340" spans="1:15" ht="15.75" customHeight="1" x14ac:dyDescent="0.25">
      <c r="A340" s="215"/>
      <c r="B340" s="539"/>
      <c r="E340" s="540"/>
      <c r="F340" s="563"/>
      <c r="G340" s="209"/>
      <c r="H340" s="392"/>
      <c r="I340" s="210"/>
      <c r="J340" s="408"/>
      <c r="K340" s="220"/>
      <c r="L340" s="220"/>
      <c r="M340" s="220"/>
      <c r="N340" s="220"/>
      <c r="O340" s="221"/>
    </row>
    <row r="341" spans="1:15" ht="15.75" customHeight="1" x14ac:dyDescent="0.25">
      <c r="A341" s="194"/>
      <c r="B341" s="171"/>
      <c r="E341" s="222"/>
      <c r="F341" s="403"/>
      <c r="G341" s="168"/>
      <c r="H341" s="391"/>
      <c r="I341" s="175"/>
      <c r="J341" s="200"/>
      <c r="K341" s="216"/>
      <c r="L341" s="216"/>
      <c r="M341" s="216"/>
      <c r="N341" s="216"/>
      <c r="O341" s="213"/>
    </row>
    <row r="342" spans="1:15" ht="15.75" customHeight="1" x14ac:dyDescent="0.25">
      <c r="A342" s="194"/>
      <c r="B342" s="171"/>
      <c r="E342" s="222"/>
      <c r="F342" s="403"/>
      <c r="G342" s="168"/>
      <c r="H342" s="391"/>
      <c r="I342" s="175"/>
      <c r="J342" s="200"/>
      <c r="K342" s="216"/>
      <c r="L342" s="216"/>
      <c r="M342" s="216"/>
      <c r="N342" s="216"/>
      <c r="O342" s="213"/>
    </row>
    <row r="343" spans="1:15" ht="15.75" customHeight="1" x14ac:dyDescent="0.25">
      <c r="A343" s="194"/>
      <c r="B343" s="171"/>
      <c r="E343" s="222"/>
      <c r="F343" s="403"/>
      <c r="G343" s="168"/>
      <c r="H343" s="391"/>
      <c r="I343" s="175"/>
      <c r="J343" s="200"/>
      <c r="K343" s="216"/>
      <c r="L343" s="216"/>
      <c r="M343" s="216"/>
      <c r="N343" s="216"/>
      <c r="O343" s="213"/>
    </row>
    <row r="344" spans="1:15" ht="15.75" customHeight="1" x14ac:dyDescent="0.25">
      <c r="A344" s="194"/>
      <c r="B344" s="171"/>
      <c r="E344" s="222"/>
      <c r="F344" s="403"/>
      <c r="G344" s="168"/>
      <c r="H344" s="391"/>
      <c r="I344" s="175"/>
      <c r="J344" s="200"/>
      <c r="K344" s="216"/>
      <c r="L344" s="216"/>
      <c r="M344" s="216"/>
      <c r="N344" s="216"/>
      <c r="O344" s="213"/>
    </row>
    <row r="345" spans="1:15" ht="15.75" customHeight="1" x14ac:dyDescent="0.25">
      <c r="A345" s="194"/>
      <c r="B345" s="171"/>
      <c r="E345" s="174"/>
      <c r="F345" s="403"/>
      <c r="G345" s="168"/>
      <c r="H345" s="391"/>
      <c r="I345" s="175"/>
      <c r="J345" s="200"/>
      <c r="K345" s="216"/>
      <c r="L345" s="216"/>
      <c r="M345" s="216"/>
      <c r="N345" s="216"/>
      <c r="O345" s="213"/>
    </row>
    <row r="346" spans="1:15" ht="15.75" customHeight="1" x14ac:dyDescent="0.25">
      <c r="A346" s="194"/>
      <c r="B346" s="171"/>
      <c r="E346" s="174"/>
      <c r="F346" s="403"/>
      <c r="G346" s="168"/>
      <c r="H346" s="391"/>
      <c r="I346" s="175"/>
      <c r="J346" s="200"/>
      <c r="K346" s="216"/>
      <c r="L346" s="216"/>
      <c r="M346" s="216"/>
      <c r="N346" s="216"/>
      <c r="O346" s="213"/>
    </row>
    <row r="347" spans="1:15" ht="15.75" customHeight="1" x14ac:dyDescent="0.25">
      <c r="A347" s="194"/>
      <c r="B347" s="171"/>
      <c r="E347" s="222"/>
      <c r="F347" s="406"/>
      <c r="G347" s="168"/>
      <c r="H347" s="392"/>
      <c r="I347" s="210"/>
      <c r="J347" s="200"/>
      <c r="K347" s="216"/>
      <c r="L347" s="220"/>
      <c r="M347" s="220"/>
      <c r="N347" s="220"/>
      <c r="O347" s="221"/>
    </row>
    <row r="348" spans="1:15" ht="15.75" customHeight="1" x14ac:dyDescent="0.25">
      <c r="A348" s="194"/>
      <c r="B348" s="171"/>
      <c r="E348" s="222"/>
      <c r="F348" s="403"/>
      <c r="G348" s="168"/>
      <c r="H348" s="391"/>
      <c r="I348" s="175"/>
      <c r="J348" s="200"/>
      <c r="K348" s="216"/>
      <c r="L348" s="216"/>
      <c r="M348" s="216"/>
      <c r="N348" s="216"/>
      <c r="O348" s="213"/>
    </row>
    <row r="349" spans="1:15" ht="15.75" customHeight="1" x14ac:dyDescent="0.25">
      <c r="A349" s="194"/>
      <c r="B349" s="171"/>
      <c r="E349" s="222"/>
      <c r="F349" s="403"/>
      <c r="G349" s="168"/>
      <c r="H349" s="391"/>
      <c r="I349" s="175"/>
      <c r="J349" s="200"/>
      <c r="K349" s="216"/>
      <c r="L349" s="216"/>
      <c r="M349" s="216"/>
      <c r="N349" s="216"/>
      <c r="O349" s="213"/>
    </row>
    <row r="350" spans="1:15" ht="15.75" customHeight="1" x14ac:dyDescent="0.25">
      <c r="A350" s="194"/>
      <c r="B350" s="171"/>
      <c r="E350" s="222"/>
      <c r="F350" s="403"/>
      <c r="G350" s="168"/>
      <c r="H350" s="391"/>
      <c r="I350" s="175"/>
      <c r="J350" s="200"/>
      <c r="K350" s="216"/>
      <c r="L350" s="216"/>
      <c r="M350" s="216"/>
      <c r="N350" s="216"/>
      <c r="O350" s="213"/>
    </row>
    <row r="351" spans="1:15" ht="15.75" customHeight="1" x14ac:dyDescent="0.25">
      <c r="A351" s="194"/>
      <c r="B351" s="171"/>
      <c r="E351" s="222"/>
      <c r="F351" s="403"/>
      <c r="G351" s="168"/>
      <c r="H351" s="391"/>
      <c r="I351" s="175"/>
      <c r="J351" s="200"/>
      <c r="K351" s="216"/>
      <c r="L351" s="216"/>
      <c r="M351" s="216"/>
      <c r="N351" s="216"/>
      <c r="O351" s="213"/>
    </row>
    <row r="352" spans="1:15" ht="15.75" customHeight="1" x14ac:dyDescent="0.25">
      <c r="A352" s="194"/>
      <c r="B352" s="171"/>
      <c r="E352" s="222"/>
      <c r="F352" s="403"/>
      <c r="G352" s="168"/>
      <c r="H352" s="391"/>
      <c r="I352" s="175"/>
      <c r="J352" s="200"/>
      <c r="K352" s="216"/>
      <c r="L352" s="216"/>
      <c r="M352" s="216"/>
      <c r="N352" s="216"/>
      <c r="O352" s="213"/>
    </row>
    <row r="353" spans="1:15" ht="15.75" customHeight="1" x14ac:dyDescent="0.25">
      <c r="A353" s="194"/>
      <c r="B353" s="171"/>
      <c r="E353" s="222"/>
      <c r="F353" s="403"/>
      <c r="G353" s="168"/>
      <c r="H353" s="391"/>
      <c r="I353" s="175"/>
      <c r="J353" s="200"/>
      <c r="K353" s="216"/>
      <c r="L353" s="216"/>
      <c r="M353" s="216"/>
      <c r="N353" s="216"/>
      <c r="O353" s="213"/>
    </row>
    <row r="354" spans="1:15" ht="15.75" customHeight="1" x14ac:dyDescent="0.25">
      <c r="A354" s="194"/>
      <c r="B354" s="171"/>
      <c r="E354" s="222"/>
      <c r="F354" s="403"/>
      <c r="G354" s="168"/>
      <c r="H354" s="391"/>
      <c r="I354" s="175"/>
      <c r="J354" s="200"/>
      <c r="K354" s="216"/>
      <c r="L354" s="216"/>
      <c r="M354" s="216"/>
      <c r="N354" s="216"/>
      <c r="O354" s="213"/>
    </row>
    <row r="355" spans="1:15" ht="15.75" customHeight="1" x14ac:dyDescent="0.25">
      <c r="A355" s="194"/>
      <c r="B355" s="171"/>
      <c r="E355" s="222"/>
      <c r="F355" s="403"/>
      <c r="G355" s="168"/>
      <c r="H355" s="391"/>
      <c r="I355" s="175"/>
      <c r="J355" s="200"/>
      <c r="K355" s="216"/>
      <c r="L355" s="216"/>
      <c r="M355" s="216"/>
      <c r="N355" s="216"/>
      <c r="O355" s="213"/>
    </row>
    <row r="356" spans="1:15" ht="15.75" customHeight="1" x14ac:dyDescent="0.25">
      <c r="A356" s="194"/>
      <c r="B356" s="171"/>
      <c r="E356" s="222"/>
      <c r="F356" s="403"/>
      <c r="G356" s="168"/>
      <c r="H356" s="391"/>
      <c r="I356" s="175"/>
      <c r="J356" s="200"/>
      <c r="K356" s="216"/>
      <c r="L356" s="216"/>
      <c r="M356" s="216"/>
      <c r="N356" s="216"/>
      <c r="O356" s="213"/>
    </row>
    <row r="357" spans="1:15" ht="15.75" customHeight="1" x14ac:dyDescent="0.25">
      <c r="A357" s="194"/>
      <c r="B357" s="171"/>
      <c r="E357" s="540"/>
      <c r="F357" s="406"/>
      <c r="G357" s="168"/>
      <c r="H357" s="392"/>
      <c r="I357" s="210"/>
      <c r="J357" s="200"/>
      <c r="K357" s="216"/>
      <c r="L357" s="220"/>
      <c r="M357" s="220"/>
      <c r="N357" s="220"/>
      <c r="O357" s="221"/>
    </row>
    <row r="358" spans="1:15" ht="15.75" customHeight="1" x14ac:dyDescent="0.25">
      <c r="A358" s="194"/>
      <c r="B358" s="171"/>
      <c r="E358" s="540"/>
      <c r="F358" s="403"/>
      <c r="G358" s="168"/>
      <c r="H358" s="391"/>
      <c r="I358" s="175"/>
      <c r="J358" s="200"/>
      <c r="K358" s="216"/>
      <c r="L358" s="216"/>
      <c r="M358" s="216"/>
      <c r="N358" s="216"/>
      <c r="O358" s="221"/>
    </row>
    <row r="359" spans="1:15" ht="15.75" customHeight="1" x14ac:dyDescent="0.25">
      <c r="A359" s="194"/>
      <c r="B359" s="171"/>
      <c r="D359" s="172"/>
      <c r="E359" s="222"/>
      <c r="F359" s="402"/>
      <c r="G359" s="168"/>
      <c r="H359" s="391"/>
      <c r="I359" s="175"/>
      <c r="J359" s="200"/>
      <c r="K359" s="216"/>
      <c r="L359" s="216"/>
      <c r="M359" s="216"/>
      <c r="N359" s="216"/>
      <c r="O359" s="213"/>
    </row>
    <row r="360" spans="1:15" ht="15.75" customHeight="1" x14ac:dyDescent="0.25">
      <c r="A360" s="194"/>
      <c r="B360" s="171"/>
      <c r="D360" s="172"/>
      <c r="E360" s="174"/>
      <c r="F360" s="403"/>
      <c r="G360" s="168"/>
      <c r="H360" s="391"/>
      <c r="I360" s="175"/>
      <c r="J360" s="200"/>
      <c r="K360" s="216"/>
      <c r="L360" s="216"/>
      <c r="M360" s="216"/>
      <c r="N360" s="216"/>
      <c r="O360" s="217"/>
    </row>
    <row r="361" spans="1:15" ht="15.75" customHeight="1" x14ac:dyDescent="0.25">
      <c r="A361" s="194"/>
      <c r="B361" s="171"/>
      <c r="D361" s="172"/>
      <c r="E361" s="174"/>
      <c r="F361" s="403"/>
      <c r="G361" s="168"/>
      <c r="H361" s="391"/>
      <c r="I361" s="175"/>
      <c r="J361" s="200"/>
      <c r="K361" s="216"/>
      <c r="L361" s="216"/>
      <c r="M361" s="216"/>
      <c r="N361" s="216"/>
      <c r="O361" s="217"/>
    </row>
    <row r="362" spans="1:15" ht="15.75" customHeight="1" x14ac:dyDescent="0.25">
      <c r="A362" s="194"/>
      <c r="B362" s="171"/>
      <c r="E362" s="222"/>
      <c r="F362" s="402"/>
      <c r="G362" s="168"/>
      <c r="H362" s="391"/>
      <c r="I362" s="175"/>
      <c r="J362" s="200"/>
      <c r="K362" s="216"/>
      <c r="L362" s="216"/>
      <c r="M362" s="216"/>
      <c r="N362" s="216"/>
      <c r="O362" s="213"/>
    </row>
    <row r="363" spans="1:15" ht="15.75" customHeight="1" x14ac:dyDescent="0.25">
      <c r="A363" s="194"/>
      <c r="B363" s="171"/>
      <c r="D363" s="172"/>
      <c r="E363" s="174"/>
      <c r="F363" s="403"/>
      <c r="G363" s="168"/>
      <c r="H363" s="391"/>
      <c r="I363" s="175"/>
      <c r="J363" s="200"/>
      <c r="K363" s="216"/>
      <c r="L363" s="218"/>
      <c r="M363" s="218"/>
      <c r="N363" s="218"/>
      <c r="O363" s="219"/>
    </row>
    <row r="364" spans="1:15" ht="15.75" customHeight="1" x14ac:dyDescent="0.25">
      <c r="A364" s="194"/>
      <c r="B364" s="171"/>
      <c r="E364" s="222"/>
      <c r="F364" s="403"/>
      <c r="G364" s="168"/>
      <c r="H364" s="391"/>
      <c r="I364" s="175"/>
      <c r="J364" s="200"/>
      <c r="K364" s="216"/>
      <c r="L364" s="216"/>
      <c r="M364" s="216"/>
      <c r="N364" s="216"/>
      <c r="O364" s="213"/>
    </row>
    <row r="365" spans="1:15" ht="15.75" customHeight="1" x14ac:dyDescent="0.25">
      <c r="A365" s="194"/>
      <c r="B365" s="171"/>
      <c r="E365" s="222"/>
      <c r="F365" s="403"/>
      <c r="G365" s="168"/>
      <c r="H365" s="391"/>
      <c r="I365" s="175"/>
      <c r="J365" s="200"/>
      <c r="K365" s="216"/>
      <c r="L365" s="216"/>
      <c r="M365" s="216"/>
      <c r="N365" s="216"/>
      <c r="O365" s="213"/>
    </row>
    <row r="366" spans="1:15" ht="15.75" customHeight="1" x14ac:dyDescent="0.25">
      <c r="A366" s="194"/>
      <c r="B366" s="171"/>
      <c r="E366" s="222"/>
      <c r="F366" s="403"/>
      <c r="G366" s="168"/>
      <c r="H366" s="391"/>
      <c r="I366" s="175"/>
      <c r="J366" s="200"/>
      <c r="K366" s="216"/>
      <c r="L366" s="216"/>
      <c r="M366" s="216"/>
      <c r="N366" s="216"/>
      <c r="O366" s="213"/>
    </row>
    <row r="367" spans="1:15" ht="15.75" customHeight="1" x14ac:dyDescent="0.25">
      <c r="A367" s="215"/>
      <c r="B367" s="539"/>
      <c r="E367" s="540"/>
      <c r="F367" s="406"/>
      <c r="G367" s="209"/>
      <c r="H367" s="392"/>
      <c r="I367" s="210"/>
      <c r="J367" s="408"/>
      <c r="K367" s="220"/>
      <c r="L367" s="220"/>
      <c r="M367" s="220"/>
      <c r="N367" s="220"/>
      <c r="O367" s="221"/>
    </row>
    <row r="368" spans="1:15" ht="15.75" customHeight="1" x14ac:dyDescent="0.25">
      <c r="A368" s="194"/>
      <c r="B368" s="171"/>
      <c r="E368" s="222"/>
      <c r="F368" s="403"/>
      <c r="G368" s="168"/>
      <c r="H368" s="391"/>
      <c r="I368" s="175"/>
      <c r="J368" s="200"/>
      <c r="K368" s="216"/>
      <c r="L368" s="216"/>
      <c r="M368" s="216"/>
      <c r="N368" s="216"/>
      <c r="O368" s="213"/>
    </row>
    <row r="369" spans="1:15" ht="15.75" customHeight="1" x14ac:dyDescent="0.25">
      <c r="A369" s="194"/>
      <c r="B369" s="171"/>
      <c r="E369" s="222"/>
      <c r="F369" s="403"/>
      <c r="G369" s="168"/>
      <c r="H369" s="391"/>
      <c r="I369" s="175"/>
      <c r="J369" s="200"/>
      <c r="K369" s="216"/>
      <c r="L369" s="216"/>
      <c r="M369" s="216"/>
      <c r="N369" s="216"/>
      <c r="O369" s="213"/>
    </row>
    <row r="370" spans="1:15" ht="15.75" customHeight="1" x14ac:dyDescent="0.25">
      <c r="A370" s="194"/>
      <c r="B370" s="171"/>
      <c r="E370" s="222"/>
      <c r="F370" s="403"/>
      <c r="G370" s="168"/>
      <c r="H370" s="391"/>
      <c r="I370" s="175"/>
      <c r="J370" s="200"/>
      <c r="K370" s="216"/>
      <c r="L370" s="216"/>
      <c r="M370" s="216"/>
      <c r="N370" s="216"/>
      <c r="O370" s="213"/>
    </row>
    <row r="371" spans="1:15" ht="15.75" customHeight="1" x14ac:dyDescent="0.25">
      <c r="A371" s="194"/>
      <c r="B371" s="171"/>
      <c r="E371" s="222"/>
      <c r="F371" s="403"/>
      <c r="G371" s="168"/>
      <c r="H371" s="391"/>
      <c r="I371" s="175"/>
      <c r="J371" s="200"/>
      <c r="K371" s="216"/>
      <c r="L371" s="216"/>
      <c r="M371" s="216"/>
      <c r="N371" s="216"/>
      <c r="O371" s="213"/>
    </row>
    <row r="372" spans="1:15" ht="15.75" customHeight="1" x14ac:dyDescent="0.25">
      <c r="A372" s="194"/>
      <c r="B372" s="171"/>
      <c r="E372" s="222"/>
      <c r="F372" s="403"/>
      <c r="G372" s="168"/>
      <c r="H372" s="391"/>
      <c r="I372" s="175"/>
      <c r="J372" s="200"/>
      <c r="K372" s="216"/>
      <c r="L372" s="216"/>
      <c r="M372" s="216"/>
      <c r="N372" s="216"/>
      <c r="O372" s="213"/>
    </row>
    <row r="373" spans="1:15" ht="15.75" customHeight="1" x14ac:dyDescent="0.25">
      <c r="A373" s="194"/>
      <c r="B373" s="171"/>
      <c r="E373" s="222"/>
      <c r="F373" s="403"/>
      <c r="G373" s="168"/>
      <c r="H373" s="391"/>
      <c r="I373" s="175"/>
      <c r="J373" s="200"/>
      <c r="K373" s="216"/>
      <c r="L373" s="216"/>
      <c r="M373" s="216"/>
      <c r="N373" s="216"/>
      <c r="O373" s="213"/>
    </row>
    <row r="374" spans="1:15" ht="15.75" customHeight="1" x14ac:dyDescent="0.25">
      <c r="A374" s="194"/>
      <c r="B374" s="171"/>
      <c r="E374" s="222"/>
      <c r="F374" s="403"/>
      <c r="G374" s="168"/>
      <c r="H374" s="391"/>
      <c r="I374" s="175"/>
      <c r="J374" s="200"/>
      <c r="K374" s="216"/>
      <c r="L374" s="216"/>
      <c r="M374" s="216"/>
      <c r="N374" s="216"/>
      <c r="O374" s="213"/>
    </row>
    <row r="375" spans="1:15" ht="15.75" customHeight="1" x14ac:dyDescent="0.25">
      <c r="A375" s="194"/>
      <c r="B375" s="171"/>
      <c r="E375" s="222"/>
      <c r="F375" s="403"/>
      <c r="G375" s="168"/>
      <c r="H375" s="391"/>
      <c r="I375" s="175"/>
      <c r="J375" s="200"/>
      <c r="K375" s="216"/>
      <c r="L375" s="216"/>
      <c r="M375" s="216"/>
      <c r="N375" s="216"/>
      <c r="O375" s="213"/>
    </row>
    <row r="376" spans="1:15" ht="15.75" customHeight="1" x14ac:dyDescent="0.25">
      <c r="A376" s="194"/>
      <c r="B376" s="171"/>
      <c r="E376" s="222"/>
      <c r="F376" s="403"/>
      <c r="G376" s="168"/>
      <c r="H376" s="391"/>
      <c r="I376" s="175"/>
      <c r="J376" s="200"/>
      <c r="K376" s="216"/>
      <c r="L376" s="216"/>
      <c r="M376" s="216"/>
      <c r="N376" s="216"/>
      <c r="O376" s="213"/>
    </row>
    <row r="377" spans="1:15" ht="15.75" customHeight="1" x14ac:dyDescent="0.25">
      <c r="A377" s="194"/>
      <c r="B377" s="171"/>
      <c r="E377" s="222"/>
      <c r="F377" s="403"/>
      <c r="G377" s="168"/>
      <c r="H377" s="391"/>
      <c r="I377" s="175"/>
      <c r="J377" s="200"/>
      <c r="K377" s="216"/>
      <c r="L377" s="216"/>
      <c r="M377" s="216"/>
      <c r="N377" s="216"/>
      <c r="O377" s="213"/>
    </row>
    <row r="378" spans="1:15" ht="15.75" customHeight="1" x14ac:dyDescent="0.25">
      <c r="A378" s="194"/>
      <c r="B378" s="171"/>
      <c r="E378" s="222"/>
      <c r="F378" s="403"/>
      <c r="G378" s="168"/>
      <c r="H378" s="391"/>
      <c r="I378" s="175"/>
      <c r="J378" s="200"/>
      <c r="K378" s="216"/>
      <c r="L378" s="216"/>
      <c r="M378" s="216"/>
      <c r="N378" s="216"/>
      <c r="O378" s="213"/>
    </row>
    <row r="379" spans="1:15" ht="15.75" customHeight="1" x14ac:dyDescent="0.25">
      <c r="A379" s="194"/>
      <c r="B379" s="171"/>
      <c r="E379" s="222"/>
      <c r="F379" s="403"/>
      <c r="G379" s="168"/>
      <c r="H379" s="391"/>
      <c r="I379" s="175"/>
      <c r="J379" s="200"/>
      <c r="K379" s="216"/>
      <c r="L379" s="216"/>
      <c r="M379" s="216"/>
      <c r="N379" s="216"/>
      <c r="O379" s="213"/>
    </row>
    <row r="380" spans="1:15" ht="15.75" customHeight="1" x14ac:dyDescent="0.25">
      <c r="A380" s="194"/>
      <c r="B380" s="171"/>
      <c r="E380" s="222"/>
      <c r="F380" s="403"/>
      <c r="G380" s="168"/>
      <c r="H380" s="391"/>
      <c r="I380" s="175"/>
      <c r="J380" s="200"/>
      <c r="K380" s="216"/>
      <c r="L380" s="216"/>
      <c r="M380" s="216"/>
      <c r="N380" s="216"/>
      <c r="O380" s="213"/>
    </row>
    <row r="381" spans="1:15" ht="15.75" customHeight="1" x14ac:dyDescent="0.25">
      <c r="A381" s="194"/>
      <c r="B381" s="171"/>
      <c r="E381" s="222"/>
      <c r="F381" s="403"/>
      <c r="G381" s="168"/>
      <c r="H381" s="391"/>
      <c r="I381" s="175"/>
      <c r="J381" s="200"/>
      <c r="K381" s="216"/>
      <c r="L381" s="216"/>
      <c r="M381" s="216"/>
      <c r="N381" s="216"/>
      <c r="O381" s="213"/>
    </row>
    <row r="382" spans="1:15" ht="15.75" customHeight="1" x14ac:dyDescent="0.25">
      <c r="A382" s="194"/>
      <c r="B382" s="171"/>
      <c r="E382" s="222"/>
      <c r="F382" s="403"/>
      <c r="G382" s="168"/>
      <c r="H382" s="391"/>
      <c r="I382" s="175"/>
      <c r="J382" s="200"/>
      <c r="K382" s="216"/>
      <c r="L382" s="216"/>
      <c r="M382" s="216"/>
      <c r="N382" s="216"/>
      <c r="O382" s="213"/>
    </row>
    <row r="383" spans="1:15" ht="15.75" customHeight="1" x14ac:dyDescent="0.25">
      <c r="A383" s="194"/>
      <c r="B383" s="171"/>
      <c r="E383" s="222"/>
      <c r="F383" s="403"/>
      <c r="G383" s="168"/>
      <c r="H383" s="391"/>
      <c r="I383" s="175"/>
      <c r="J383" s="200"/>
      <c r="K383" s="216"/>
      <c r="L383" s="216"/>
      <c r="M383" s="216"/>
      <c r="N383" s="216"/>
      <c r="O383" s="213"/>
    </row>
    <row r="384" spans="1:15" ht="15.75" customHeight="1" x14ac:dyDescent="0.25">
      <c r="A384" s="194"/>
      <c r="B384" s="171"/>
      <c r="E384" s="222"/>
      <c r="F384" s="403"/>
      <c r="G384" s="168"/>
      <c r="H384" s="391"/>
      <c r="I384" s="175"/>
      <c r="J384" s="200"/>
      <c r="K384" s="216"/>
      <c r="L384" s="216"/>
      <c r="M384" s="216"/>
      <c r="N384" s="216"/>
      <c r="O384" s="213"/>
    </row>
    <row r="385" spans="1:15" ht="15.75" customHeight="1" x14ac:dyDescent="0.25">
      <c r="A385" s="194"/>
      <c r="B385" s="171"/>
      <c r="E385" s="222"/>
      <c r="F385" s="403"/>
      <c r="G385" s="168"/>
      <c r="H385" s="391"/>
      <c r="I385" s="175"/>
      <c r="J385" s="200"/>
      <c r="K385" s="216"/>
      <c r="L385" s="216"/>
      <c r="M385" s="216"/>
      <c r="N385" s="216"/>
      <c r="O385" s="213"/>
    </row>
    <row r="386" spans="1:15" ht="15.75" customHeight="1" x14ac:dyDescent="0.25">
      <c r="A386" s="194"/>
      <c r="B386" s="171"/>
      <c r="E386" s="222"/>
      <c r="F386" s="403"/>
      <c r="G386" s="168"/>
      <c r="H386" s="391"/>
      <c r="I386" s="175"/>
      <c r="J386" s="200"/>
      <c r="K386" s="216"/>
      <c r="L386" s="216"/>
      <c r="M386" s="216"/>
      <c r="N386" s="216"/>
      <c r="O386" s="213"/>
    </row>
    <row r="387" spans="1:15" ht="15.75" customHeight="1" x14ac:dyDescent="0.25">
      <c r="A387" s="194"/>
      <c r="B387" s="171"/>
      <c r="E387" s="222"/>
      <c r="F387" s="403"/>
      <c r="G387" s="168"/>
      <c r="H387" s="391"/>
      <c r="I387" s="175"/>
      <c r="J387" s="200"/>
      <c r="K387" s="216"/>
      <c r="L387" s="216"/>
      <c r="M387" s="216"/>
      <c r="N387" s="216"/>
      <c r="O387" s="213"/>
    </row>
    <row r="388" spans="1:15" ht="15.75" customHeight="1" x14ac:dyDescent="0.25">
      <c r="A388" s="194"/>
      <c r="B388" s="171"/>
      <c r="E388" s="222"/>
      <c r="F388" s="403"/>
      <c r="G388" s="168"/>
      <c r="H388" s="391"/>
      <c r="I388" s="175"/>
      <c r="J388" s="200"/>
      <c r="K388" s="216"/>
      <c r="L388" s="216"/>
      <c r="M388" s="216"/>
      <c r="N388" s="216"/>
      <c r="O388" s="213"/>
    </row>
    <row r="389" spans="1:15" ht="15.75" customHeight="1" x14ac:dyDescent="0.25">
      <c r="A389" s="215"/>
      <c r="B389" s="539"/>
      <c r="E389" s="540"/>
      <c r="F389" s="406"/>
      <c r="G389" s="209"/>
      <c r="H389" s="392"/>
      <c r="I389" s="210"/>
      <c r="J389" s="408"/>
      <c r="K389" s="220"/>
      <c r="L389" s="220"/>
      <c r="M389" s="220"/>
      <c r="N389" s="220"/>
      <c r="O389" s="221"/>
    </row>
    <row r="390" spans="1:15" ht="15.75" customHeight="1" x14ac:dyDescent="0.25">
      <c r="A390" s="194"/>
      <c r="B390" s="171"/>
      <c r="E390" s="222"/>
      <c r="F390" s="403"/>
      <c r="G390" s="168"/>
      <c r="H390" s="391"/>
      <c r="I390" s="175"/>
      <c r="J390" s="200"/>
      <c r="K390" s="216"/>
      <c r="L390" s="216"/>
      <c r="M390" s="216"/>
      <c r="N390" s="216"/>
      <c r="O390" s="213"/>
    </row>
    <row r="391" spans="1:15" ht="15.75" customHeight="1" x14ac:dyDescent="0.25">
      <c r="A391" s="194"/>
      <c r="B391" s="171"/>
      <c r="E391" s="222"/>
      <c r="F391" s="403"/>
      <c r="G391" s="168"/>
      <c r="H391" s="391"/>
      <c r="I391" s="175"/>
      <c r="J391" s="200"/>
      <c r="K391" s="216"/>
      <c r="L391" s="216"/>
      <c r="M391" s="216"/>
      <c r="N391" s="216"/>
      <c r="O391" s="213"/>
    </row>
    <row r="392" spans="1:15" ht="15.75" customHeight="1" x14ac:dyDescent="0.25">
      <c r="A392" s="194"/>
      <c r="B392" s="171"/>
      <c r="E392" s="222"/>
      <c r="F392" s="403"/>
      <c r="G392" s="168"/>
      <c r="H392" s="391"/>
      <c r="I392" s="175"/>
      <c r="J392" s="200"/>
      <c r="K392" s="216"/>
      <c r="L392" s="216"/>
      <c r="M392" s="216"/>
      <c r="N392" s="216"/>
      <c r="O392" s="213"/>
    </row>
    <row r="393" spans="1:15" ht="15.75" customHeight="1" x14ac:dyDescent="0.25">
      <c r="A393" s="194"/>
      <c r="B393" s="171"/>
      <c r="E393" s="222"/>
      <c r="F393" s="403"/>
      <c r="G393" s="168"/>
      <c r="H393" s="391"/>
      <c r="I393" s="175"/>
      <c r="J393" s="200"/>
      <c r="K393" s="216"/>
      <c r="L393" s="216"/>
      <c r="M393" s="216"/>
      <c r="N393" s="216"/>
      <c r="O393" s="213"/>
    </row>
    <row r="394" spans="1:15" ht="15.75" customHeight="1" x14ac:dyDescent="0.25">
      <c r="A394" s="194"/>
      <c r="B394" s="171"/>
      <c r="E394" s="222"/>
      <c r="F394" s="403"/>
      <c r="G394" s="168"/>
      <c r="H394" s="391"/>
      <c r="I394" s="175"/>
      <c r="J394" s="200"/>
      <c r="K394" s="216"/>
      <c r="L394" s="216"/>
      <c r="M394" s="216"/>
      <c r="N394" s="216"/>
      <c r="O394" s="213"/>
    </row>
    <row r="395" spans="1:15" ht="15.75" customHeight="1" x14ac:dyDescent="0.25">
      <c r="A395" s="194"/>
      <c r="B395" s="171"/>
      <c r="E395" s="222"/>
      <c r="F395" s="403"/>
      <c r="G395" s="168"/>
      <c r="H395" s="391"/>
      <c r="I395" s="175"/>
      <c r="J395" s="200"/>
      <c r="K395" s="216"/>
      <c r="L395" s="216"/>
      <c r="M395" s="216"/>
      <c r="N395" s="216"/>
      <c r="O395" s="213"/>
    </row>
    <row r="396" spans="1:15" ht="15.75" customHeight="1" x14ac:dyDescent="0.25">
      <c r="A396" s="194"/>
      <c r="B396" s="171"/>
      <c r="E396" s="222"/>
      <c r="F396" s="403"/>
      <c r="G396" s="168"/>
      <c r="H396" s="391"/>
      <c r="I396" s="175"/>
      <c r="J396" s="200"/>
      <c r="K396" s="216"/>
      <c r="L396" s="216"/>
      <c r="M396" s="216"/>
      <c r="N396" s="216"/>
      <c r="O396" s="213"/>
    </row>
    <row r="397" spans="1:15" ht="15.75" customHeight="1" x14ac:dyDescent="0.25">
      <c r="A397" s="194"/>
      <c r="B397" s="171"/>
      <c r="E397" s="222"/>
      <c r="F397" s="403"/>
      <c r="G397" s="168"/>
      <c r="H397" s="391"/>
      <c r="I397" s="175"/>
      <c r="J397" s="200"/>
      <c r="K397" s="216"/>
      <c r="L397" s="216"/>
      <c r="M397" s="216"/>
      <c r="N397" s="216"/>
      <c r="O397" s="213"/>
    </row>
    <row r="398" spans="1:15" ht="15.75" customHeight="1" x14ac:dyDescent="0.25">
      <c r="A398" s="194"/>
      <c r="B398" s="171"/>
      <c r="E398" s="222"/>
      <c r="F398" s="403"/>
      <c r="G398" s="168"/>
      <c r="H398" s="391"/>
      <c r="I398" s="175"/>
      <c r="J398" s="200"/>
      <c r="K398" s="216"/>
      <c r="L398" s="216"/>
      <c r="M398" s="216"/>
      <c r="N398" s="216"/>
      <c r="O398" s="213"/>
    </row>
    <row r="399" spans="1:15" ht="15.75" customHeight="1" x14ac:dyDescent="0.25">
      <c r="A399" s="194"/>
      <c r="B399" s="171"/>
      <c r="E399" s="222"/>
      <c r="F399" s="403"/>
      <c r="G399" s="168"/>
      <c r="H399" s="391"/>
      <c r="I399" s="175"/>
      <c r="J399" s="200"/>
      <c r="K399" s="216"/>
      <c r="L399" s="216"/>
      <c r="M399" s="216"/>
      <c r="N399" s="216"/>
      <c r="O399" s="213"/>
    </row>
    <row r="400" spans="1:15" ht="15.75" customHeight="1" x14ac:dyDescent="0.25">
      <c r="A400" s="194"/>
      <c r="B400" s="171"/>
      <c r="E400" s="222"/>
      <c r="F400" s="403"/>
      <c r="G400" s="168"/>
      <c r="H400" s="391"/>
      <c r="I400" s="175"/>
      <c r="J400" s="200"/>
      <c r="K400" s="216"/>
      <c r="L400" s="216"/>
      <c r="M400" s="216"/>
      <c r="N400" s="216"/>
      <c r="O400" s="213"/>
    </row>
    <row r="401" spans="1:15" ht="15.75" customHeight="1" x14ac:dyDescent="0.25">
      <c r="A401" s="194"/>
      <c r="B401" s="171"/>
      <c r="E401" s="222"/>
      <c r="F401" s="403"/>
      <c r="G401" s="168"/>
      <c r="H401" s="391"/>
      <c r="I401" s="175"/>
      <c r="J401" s="200"/>
      <c r="K401" s="216"/>
      <c r="L401" s="216"/>
      <c r="M401" s="216"/>
      <c r="N401" s="216"/>
      <c r="O401" s="213"/>
    </row>
    <row r="402" spans="1:15" ht="15.75" customHeight="1" x14ac:dyDescent="0.25">
      <c r="A402" s="194"/>
      <c r="B402" s="171"/>
      <c r="E402" s="222"/>
      <c r="F402" s="406"/>
      <c r="G402" s="209"/>
      <c r="H402" s="392"/>
      <c r="I402" s="210"/>
      <c r="J402" s="200"/>
      <c r="K402" s="216"/>
      <c r="L402" s="220"/>
      <c r="M402" s="220"/>
      <c r="N402" s="220"/>
      <c r="O402" s="213"/>
    </row>
    <row r="403" spans="1:15" ht="15.75" customHeight="1" x14ac:dyDescent="0.25">
      <c r="A403" s="194"/>
      <c r="B403" s="171"/>
      <c r="E403" s="222"/>
      <c r="F403" s="403"/>
      <c r="G403" s="168"/>
      <c r="H403" s="391"/>
      <c r="I403" s="175"/>
      <c r="J403" s="200"/>
      <c r="K403" s="216"/>
      <c r="L403" s="216"/>
      <c r="M403" s="216"/>
      <c r="N403" s="216"/>
      <c r="O403" s="213"/>
    </row>
    <row r="404" spans="1:15" ht="15.75" customHeight="1" x14ac:dyDescent="0.25">
      <c r="A404" s="194"/>
      <c r="B404" s="171"/>
      <c r="E404" s="222"/>
      <c r="F404" s="403"/>
      <c r="G404" s="168"/>
      <c r="H404" s="391"/>
      <c r="I404" s="175"/>
      <c r="J404" s="200"/>
      <c r="K404" s="216"/>
      <c r="L404" s="216"/>
      <c r="M404" s="216"/>
      <c r="N404" s="216"/>
      <c r="O404" s="213"/>
    </row>
    <row r="405" spans="1:15" ht="15.75" customHeight="1" x14ac:dyDescent="0.25">
      <c r="A405" s="194"/>
      <c r="B405" s="171"/>
      <c r="E405" s="222"/>
      <c r="F405" s="403"/>
      <c r="G405" s="168"/>
      <c r="H405" s="391"/>
      <c r="I405" s="175"/>
      <c r="J405" s="200"/>
      <c r="K405" s="216"/>
      <c r="L405" s="216"/>
      <c r="M405" s="216"/>
      <c r="N405" s="216"/>
      <c r="O405" s="213"/>
    </row>
    <row r="406" spans="1:15" ht="15.75" customHeight="1" x14ac:dyDescent="0.25">
      <c r="A406" s="194"/>
      <c r="B406" s="171"/>
      <c r="E406" s="222"/>
      <c r="F406" s="403"/>
      <c r="G406" s="168"/>
      <c r="H406" s="391"/>
      <c r="I406" s="175"/>
      <c r="J406" s="200"/>
      <c r="K406" s="216"/>
      <c r="L406" s="216"/>
      <c r="M406" s="216"/>
      <c r="N406" s="216"/>
      <c r="O406" s="213"/>
    </row>
    <row r="407" spans="1:15" ht="15.75" customHeight="1" x14ac:dyDescent="0.25">
      <c r="A407" s="194"/>
      <c r="B407" s="171"/>
      <c r="E407" s="222"/>
      <c r="F407" s="403"/>
      <c r="G407" s="168"/>
      <c r="H407" s="391"/>
      <c r="I407" s="175"/>
      <c r="J407" s="200"/>
      <c r="K407" s="216"/>
      <c r="L407" s="216"/>
      <c r="M407" s="216"/>
      <c r="N407" s="216"/>
      <c r="O407" s="213"/>
    </row>
    <row r="408" spans="1:15" ht="15.75" customHeight="1" x14ac:dyDescent="0.25">
      <c r="A408" s="194"/>
      <c r="B408" s="171"/>
      <c r="E408" s="222"/>
      <c r="F408" s="403"/>
      <c r="G408" s="168"/>
      <c r="H408" s="391"/>
      <c r="I408" s="175"/>
      <c r="J408" s="200"/>
      <c r="K408" s="216"/>
      <c r="L408" s="216"/>
      <c r="M408" s="216"/>
      <c r="N408" s="216"/>
      <c r="O408" s="213"/>
    </row>
    <row r="409" spans="1:15" ht="15.75" customHeight="1" x14ac:dyDescent="0.25">
      <c r="A409" s="194"/>
      <c r="B409" s="171"/>
      <c r="E409" s="222"/>
      <c r="F409" s="403"/>
      <c r="G409" s="168"/>
      <c r="H409" s="391"/>
      <c r="I409" s="175"/>
      <c r="J409" s="200"/>
      <c r="K409" s="216"/>
      <c r="L409" s="216"/>
      <c r="M409" s="216"/>
      <c r="N409" s="216"/>
      <c r="O409" s="213"/>
    </row>
    <row r="410" spans="1:15" ht="15.75" customHeight="1" x14ac:dyDescent="0.25">
      <c r="A410" s="194"/>
      <c r="B410" s="171"/>
      <c r="E410" s="222"/>
      <c r="F410" s="403"/>
      <c r="G410" s="168"/>
      <c r="H410" s="391"/>
      <c r="I410" s="175"/>
      <c r="J410" s="200"/>
      <c r="K410" s="216"/>
      <c r="L410" s="216"/>
      <c r="M410" s="216"/>
      <c r="N410" s="216"/>
      <c r="O410" s="213"/>
    </row>
    <row r="411" spans="1:15" ht="15.75" customHeight="1" x14ac:dyDescent="0.25">
      <c r="A411" s="194"/>
      <c r="B411" s="171"/>
      <c r="E411" s="222"/>
      <c r="F411" s="403"/>
      <c r="G411" s="168"/>
      <c r="H411" s="391"/>
      <c r="I411" s="175"/>
      <c r="J411" s="200"/>
      <c r="K411" s="216"/>
      <c r="L411" s="216"/>
      <c r="M411" s="216"/>
      <c r="N411" s="216"/>
      <c r="O411" s="213"/>
    </row>
    <row r="412" spans="1:15" ht="15.75" customHeight="1" x14ac:dyDescent="0.25">
      <c r="A412" s="194"/>
      <c r="B412" s="171"/>
      <c r="E412" s="222"/>
      <c r="F412" s="403"/>
      <c r="G412" s="168"/>
      <c r="H412" s="391"/>
      <c r="I412" s="175"/>
      <c r="J412" s="200"/>
      <c r="K412" s="216"/>
      <c r="L412" s="216"/>
      <c r="M412" s="216"/>
      <c r="N412" s="216"/>
      <c r="O412" s="213"/>
    </row>
    <row r="413" spans="1:15" ht="15.75" customHeight="1" x14ac:dyDescent="0.25">
      <c r="A413" s="194"/>
      <c r="B413" s="171"/>
      <c r="E413" s="222"/>
      <c r="F413" s="403"/>
      <c r="G413" s="168"/>
      <c r="H413" s="391"/>
      <c r="I413" s="175"/>
      <c r="J413" s="200"/>
      <c r="K413" s="216"/>
      <c r="L413" s="216"/>
      <c r="M413" s="216"/>
      <c r="N413" s="216"/>
      <c r="O413" s="213"/>
    </row>
    <row r="414" spans="1:15" ht="15.75" customHeight="1" x14ac:dyDescent="0.25">
      <c r="A414" s="194"/>
      <c r="B414" s="171"/>
      <c r="E414" s="222"/>
      <c r="F414" s="403"/>
      <c r="G414" s="168"/>
      <c r="H414" s="391"/>
      <c r="I414" s="175"/>
      <c r="J414" s="200"/>
      <c r="K414" s="216"/>
      <c r="L414" s="216"/>
      <c r="M414" s="216"/>
      <c r="N414" s="216"/>
      <c r="O414" s="213"/>
    </row>
    <row r="415" spans="1:15" ht="15.75" customHeight="1" x14ac:dyDescent="0.25">
      <c r="A415" s="194"/>
      <c r="B415" s="171"/>
      <c r="E415" s="222"/>
      <c r="F415" s="403"/>
      <c r="G415" s="168"/>
      <c r="H415" s="391"/>
      <c r="I415" s="175"/>
      <c r="J415" s="200"/>
      <c r="K415" s="216"/>
      <c r="L415" s="216"/>
      <c r="M415" s="216"/>
      <c r="N415" s="216"/>
      <c r="O415" s="213"/>
    </row>
    <row r="416" spans="1:15" ht="15.75" customHeight="1" x14ac:dyDescent="0.25">
      <c r="A416" s="194"/>
      <c r="B416" s="171"/>
      <c r="E416" s="222"/>
      <c r="F416" s="403"/>
      <c r="G416" s="168"/>
      <c r="H416" s="391"/>
      <c r="I416" s="175"/>
      <c r="J416" s="200"/>
      <c r="K416" s="216"/>
      <c r="L416" s="216"/>
      <c r="M416" s="216"/>
      <c r="N416" s="216"/>
      <c r="O416" s="213"/>
    </row>
    <row r="417" spans="1:15" ht="15.75" customHeight="1" x14ac:dyDescent="0.25">
      <c r="A417" s="194"/>
      <c r="B417" s="171"/>
      <c r="E417" s="222"/>
      <c r="F417" s="403"/>
      <c r="G417" s="168"/>
      <c r="H417" s="391"/>
      <c r="I417" s="175"/>
      <c r="J417" s="200"/>
      <c r="K417" s="216"/>
      <c r="L417" s="216"/>
      <c r="M417" s="216"/>
      <c r="N417" s="216"/>
      <c r="O417" s="213"/>
    </row>
    <row r="418" spans="1:15" ht="15.75" customHeight="1" x14ac:dyDescent="0.25">
      <c r="A418" s="194"/>
      <c r="B418" s="171"/>
      <c r="E418" s="222"/>
      <c r="F418" s="403"/>
      <c r="G418" s="168"/>
      <c r="H418" s="391"/>
      <c r="I418" s="175"/>
      <c r="J418" s="200"/>
      <c r="K418" s="216"/>
      <c r="L418" s="216"/>
      <c r="M418" s="216"/>
      <c r="N418" s="216"/>
      <c r="O418" s="213"/>
    </row>
    <row r="419" spans="1:15" ht="15.75" customHeight="1" x14ac:dyDescent="0.25">
      <c r="A419" s="194"/>
      <c r="B419" s="171"/>
      <c r="E419" s="222"/>
      <c r="F419" s="403"/>
      <c r="G419" s="168"/>
      <c r="H419" s="391"/>
      <c r="I419" s="175"/>
      <c r="J419" s="200"/>
      <c r="K419" s="216"/>
      <c r="L419" s="216"/>
      <c r="M419" s="216"/>
      <c r="N419" s="216"/>
      <c r="O419" s="213"/>
    </row>
    <row r="420" spans="1:15" ht="15.75" customHeight="1" x14ac:dyDescent="0.25">
      <c r="A420" s="194"/>
      <c r="B420" s="171"/>
      <c r="E420" s="222"/>
      <c r="F420" s="403"/>
      <c r="G420" s="168"/>
      <c r="H420" s="391"/>
      <c r="I420" s="175"/>
      <c r="J420" s="200"/>
      <c r="K420" s="216"/>
      <c r="L420" s="216"/>
      <c r="M420" s="216"/>
      <c r="N420" s="216"/>
      <c r="O420" s="213"/>
    </row>
    <row r="421" spans="1:15" ht="15.75" customHeight="1" x14ac:dyDescent="0.25">
      <c r="A421" s="194"/>
      <c r="B421" s="171"/>
      <c r="E421" s="222"/>
      <c r="F421" s="403"/>
      <c r="G421" s="168"/>
      <c r="H421" s="391"/>
      <c r="I421" s="175"/>
      <c r="J421" s="200"/>
      <c r="K421" s="216"/>
      <c r="L421" s="216"/>
      <c r="M421" s="216"/>
      <c r="N421" s="216"/>
      <c r="O421" s="213"/>
    </row>
    <row r="422" spans="1:15" ht="15.75" customHeight="1" x14ac:dyDescent="0.25">
      <c r="A422" s="194"/>
      <c r="B422" s="171"/>
      <c r="E422" s="222"/>
      <c r="F422" s="403"/>
      <c r="G422" s="168"/>
      <c r="H422" s="391"/>
      <c r="I422" s="175"/>
      <c r="J422" s="200"/>
      <c r="K422" s="216"/>
      <c r="L422" s="216"/>
      <c r="M422" s="216"/>
      <c r="N422" s="216"/>
      <c r="O422" s="213"/>
    </row>
    <row r="423" spans="1:15" ht="15.75" customHeight="1" x14ac:dyDescent="0.25">
      <c r="A423" s="215"/>
      <c r="B423" s="539"/>
      <c r="E423" s="540"/>
      <c r="F423" s="406"/>
      <c r="G423" s="209"/>
      <c r="H423" s="392"/>
      <c r="I423" s="210"/>
      <c r="J423" s="408"/>
      <c r="K423" s="220"/>
      <c r="L423" s="220"/>
      <c r="M423" s="220"/>
      <c r="N423" s="220"/>
      <c r="O423" s="221"/>
    </row>
    <row r="424" spans="1:15" ht="15.75" customHeight="1" x14ac:dyDescent="0.25">
      <c r="A424" s="194"/>
      <c r="B424" s="171"/>
      <c r="E424" s="222"/>
      <c r="F424" s="403"/>
      <c r="G424" s="168"/>
      <c r="H424" s="391"/>
      <c r="I424" s="175"/>
      <c r="J424" s="200"/>
      <c r="K424" s="216"/>
      <c r="L424" s="216"/>
      <c r="M424" s="216"/>
      <c r="N424" s="216"/>
      <c r="O424" s="213"/>
    </row>
    <row r="425" spans="1:15" ht="15.75" customHeight="1" x14ac:dyDescent="0.25">
      <c r="A425" s="194"/>
      <c r="B425" s="171"/>
      <c r="E425" s="222"/>
      <c r="F425" s="403"/>
      <c r="G425" s="168"/>
      <c r="H425" s="391"/>
      <c r="I425" s="175"/>
      <c r="J425" s="200"/>
      <c r="K425" s="216"/>
      <c r="L425" s="216"/>
      <c r="M425" s="216"/>
      <c r="N425" s="216"/>
      <c r="O425" s="213"/>
    </row>
    <row r="426" spans="1:15" ht="15.75" customHeight="1" x14ac:dyDescent="0.25">
      <c r="A426" s="194"/>
      <c r="B426" s="171"/>
      <c r="E426" s="222"/>
      <c r="F426" s="403"/>
      <c r="G426" s="168"/>
      <c r="H426" s="391"/>
      <c r="I426" s="175"/>
      <c r="J426" s="200"/>
      <c r="K426" s="216"/>
      <c r="L426" s="216"/>
      <c r="M426" s="216"/>
      <c r="N426" s="216"/>
      <c r="O426" s="213"/>
    </row>
    <row r="427" spans="1:15" ht="15.75" customHeight="1" x14ac:dyDescent="0.25">
      <c r="A427" s="194"/>
      <c r="B427" s="171"/>
      <c r="E427" s="222"/>
      <c r="F427" s="403"/>
      <c r="G427" s="168"/>
      <c r="H427" s="391"/>
      <c r="I427" s="175"/>
      <c r="J427" s="200"/>
      <c r="K427" s="216"/>
      <c r="L427" s="216"/>
      <c r="M427" s="216"/>
      <c r="N427" s="216"/>
      <c r="O427" s="213"/>
    </row>
    <row r="428" spans="1:15" ht="15.75" customHeight="1" x14ac:dyDescent="0.25">
      <c r="A428" s="194"/>
      <c r="B428" s="171"/>
      <c r="E428" s="222"/>
      <c r="F428" s="403"/>
      <c r="G428" s="168"/>
      <c r="H428" s="391"/>
      <c r="I428" s="175"/>
      <c r="J428" s="200"/>
      <c r="K428" s="216"/>
      <c r="L428" s="216"/>
      <c r="M428" s="216"/>
      <c r="N428" s="216"/>
      <c r="O428" s="213"/>
    </row>
    <row r="429" spans="1:15" ht="15.75" customHeight="1" x14ac:dyDescent="0.25">
      <c r="A429" s="194"/>
      <c r="B429" s="171"/>
      <c r="E429" s="222"/>
      <c r="F429" s="403"/>
      <c r="G429" s="168"/>
      <c r="H429" s="391"/>
      <c r="I429" s="175"/>
      <c r="J429" s="200"/>
      <c r="K429" s="216"/>
      <c r="L429" s="216"/>
      <c r="M429" s="216"/>
      <c r="N429" s="216"/>
      <c r="O429" s="213"/>
    </row>
    <row r="430" spans="1:15" ht="15.75" customHeight="1" x14ac:dyDescent="0.25">
      <c r="A430" s="194"/>
      <c r="B430" s="171"/>
      <c r="E430" s="222"/>
      <c r="F430" s="403"/>
      <c r="G430" s="168"/>
      <c r="H430" s="391"/>
      <c r="I430" s="175"/>
      <c r="J430" s="200"/>
      <c r="K430" s="216"/>
      <c r="L430" s="216"/>
      <c r="M430" s="216"/>
      <c r="N430" s="216"/>
      <c r="O430" s="213"/>
    </row>
    <row r="431" spans="1:15" ht="15.75" customHeight="1" x14ac:dyDescent="0.25">
      <c r="A431" s="194"/>
      <c r="B431" s="171"/>
      <c r="E431" s="222"/>
      <c r="F431" s="403"/>
      <c r="G431" s="168"/>
      <c r="H431" s="391"/>
      <c r="I431" s="175"/>
      <c r="J431" s="200"/>
      <c r="K431" s="216"/>
      <c r="L431" s="216"/>
      <c r="M431" s="216"/>
      <c r="N431" s="216"/>
      <c r="O431" s="213"/>
    </row>
    <row r="432" spans="1:15" ht="15.75" customHeight="1" x14ac:dyDescent="0.25">
      <c r="A432" s="194"/>
      <c r="B432" s="171"/>
      <c r="E432" s="222"/>
      <c r="F432" s="403"/>
      <c r="G432" s="168"/>
      <c r="H432" s="391"/>
      <c r="I432" s="175"/>
      <c r="J432" s="200"/>
      <c r="K432" s="216"/>
      <c r="L432" s="216"/>
      <c r="M432" s="216"/>
      <c r="N432" s="216"/>
      <c r="O432" s="213"/>
    </row>
    <row r="433" spans="1:15" ht="15.75" customHeight="1" x14ac:dyDescent="0.25">
      <c r="A433" s="194"/>
      <c r="B433" s="171"/>
      <c r="E433" s="222"/>
      <c r="F433" s="403"/>
      <c r="G433" s="168"/>
      <c r="H433" s="391"/>
      <c r="I433" s="175"/>
      <c r="J433" s="200"/>
      <c r="K433" s="216"/>
      <c r="L433" s="216"/>
      <c r="M433" s="216"/>
      <c r="N433" s="216"/>
      <c r="O433" s="213"/>
    </row>
    <row r="434" spans="1:15" ht="15.75" customHeight="1" x14ac:dyDescent="0.25">
      <c r="A434" s="194"/>
      <c r="B434" s="171"/>
      <c r="E434" s="222"/>
      <c r="F434" s="403"/>
      <c r="G434" s="168"/>
      <c r="H434" s="391"/>
      <c r="I434" s="175"/>
      <c r="J434" s="200"/>
      <c r="K434" s="216"/>
      <c r="L434" s="216"/>
      <c r="M434" s="216"/>
      <c r="N434" s="216"/>
      <c r="O434" s="213"/>
    </row>
    <row r="435" spans="1:15" ht="15.75" customHeight="1" x14ac:dyDescent="0.25">
      <c r="A435" s="194"/>
      <c r="B435" s="171"/>
      <c r="E435" s="222"/>
      <c r="F435" s="403"/>
      <c r="G435" s="168"/>
      <c r="H435" s="391"/>
      <c r="I435" s="175"/>
      <c r="J435" s="200"/>
      <c r="K435" s="216"/>
      <c r="L435" s="216"/>
      <c r="M435" s="216"/>
      <c r="N435" s="216"/>
      <c r="O435" s="213"/>
    </row>
    <row r="436" spans="1:15" ht="15.75" customHeight="1" x14ac:dyDescent="0.25">
      <c r="A436" s="194"/>
      <c r="B436" s="171"/>
      <c r="E436" s="222"/>
      <c r="F436" s="403"/>
      <c r="G436" s="168"/>
      <c r="H436" s="391"/>
      <c r="I436" s="175"/>
      <c r="J436" s="200"/>
      <c r="K436" s="216"/>
      <c r="L436" s="216"/>
      <c r="M436" s="216"/>
      <c r="N436" s="216"/>
      <c r="O436" s="213"/>
    </row>
    <row r="437" spans="1:15" ht="15.75" customHeight="1" x14ac:dyDescent="0.25">
      <c r="A437" s="194"/>
      <c r="B437" s="171"/>
      <c r="E437" s="222"/>
      <c r="F437" s="403"/>
      <c r="G437" s="168"/>
      <c r="H437" s="391"/>
      <c r="I437" s="175"/>
      <c r="J437" s="200"/>
      <c r="K437" s="216"/>
      <c r="L437" s="216"/>
      <c r="M437" s="216"/>
      <c r="N437" s="216"/>
      <c r="O437" s="213"/>
    </row>
    <row r="438" spans="1:15" ht="15.75" customHeight="1" x14ac:dyDescent="0.25">
      <c r="A438" s="574"/>
      <c r="B438" s="575"/>
      <c r="C438" s="13" t="s">
        <v>1130</v>
      </c>
      <c r="D438" s="577"/>
      <c r="E438" s="578"/>
      <c r="F438" s="579"/>
      <c r="G438" s="168"/>
      <c r="H438" s="391"/>
      <c r="I438" s="580"/>
      <c r="J438" s="581"/>
      <c r="K438" s="582"/>
      <c r="L438" s="582"/>
      <c r="M438" s="582"/>
      <c r="N438" s="582"/>
      <c r="O438" s="583"/>
    </row>
    <row r="439" spans="1:15" ht="15.75" customHeight="1" x14ac:dyDescent="0.25">
      <c r="A439" s="574"/>
      <c r="B439" s="575"/>
      <c r="C439" s="576"/>
      <c r="D439" s="577"/>
      <c r="E439" s="578"/>
      <c r="F439" s="579"/>
      <c r="G439" s="168"/>
      <c r="H439" s="391"/>
      <c r="I439" s="580"/>
      <c r="J439" s="581"/>
      <c r="K439" s="582"/>
      <c r="L439" s="582"/>
      <c r="M439" s="582"/>
      <c r="N439" s="582"/>
      <c r="O439" s="583"/>
    </row>
    <row r="440" spans="1:15" ht="15.75" customHeight="1" x14ac:dyDescent="0.25">
      <c r="A440" s="574"/>
      <c r="B440" s="575"/>
      <c r="C440" s="576"/>
      <c r="D440" s="577"/>
      <c r="E440" s="578"/>
      <c r="F440" s="579"/>
      <c r="G440" s="168"/>
      <c r="H440" s="391"/>
      <c r="I440" s="580"/>
      <c r="J440" s="581"/>
      <c r="K440" s="582"/>
      <c r="L440" s="582"/>
      <c r="M440" s="582"/>
      <c r="N440" s="582"/>
      <c r="O440" s="583"/>
    </row>
    <row r="441" spans="1:15" ht="15.75" customHeight="1" x14ac:dyDescent="0.25">
      <c r="A441" s="574"/>
      <c r="B441" s="575"/>
      <c r="C441" s="576"/>
      <c r="D441" s="577"/>
      <c r="E441" s="578"/>
      <c r="F441" s="579"/>
      <c r="G441" s="168"/>
      <c r="H441" s="391"/>
      <c r="I441" s="580"/>
      <c r="J441" s="581"/>
      <c r="K441" s="582"/>
      <c r="L441" s="582"/>
      <c r="M441" s="582"/>
      <c r="N441" s="582"/>
      <c r="O441" s="583"/>
    </row>
    <row r="442" spans="1:15" ht="15.75" customHeight="1" x14ac:dyDescent="0.25">
      <c r="A442" s="574"/>
      <c r="B442" s="575"/>
      <c r="C442" s="576"/>
      <c r="D442" s="577"/>
      <c r="E442" s="578"/>
      <c r="F442" s="579"/>
      <c r="G442" s="168"/>
      <c r="H442" s="391"/>
      <c r="I442" s="580"/>
      <c r="J442" s="581"/>
      <c r="K442" s="582"/>
      <c r="L442" s="582"/>
      <c r="M442" s="582"/>
      <c r="N442" s="582"/>
      <c r="O442" s="583"/>
    </row>
    <row r="443" spans="1:15" ht="15.75" customHeight="1" x14ac:dyDescent="0.25">
      <c r="A443" s="574"/>
      <c r="B443" s="575"/>
      <c r="C443" s="576"/>
      <c r="D443" s="577"/>
      <c r="E443" s="578"/>
      <c r="F443" s="579"/>
      <c r="G443" s="168"/>
      <c r="H443" s="391"/>
      <c r="I443" s="580"/>
      <c r="J443" s="581"/>
      <c r="K443" s="582"/>
      <c r="L443" s="582"/>
      <c r="M443" s="582"/>
      <c r="N443" s="582"/>
      <c r="O443" s="583"/>
    </row>
    <row r="444" spans="1:15" ht="15.75" customHeight="1" x14ac:dyDescent="0.25">
      <c r="A444" s="574"/>
      <c r="B444" s="575"/>
      <c r="C444" s="576"/>
      <c r="D444" s="577"/>
      <c r="E444" s="578"/>
      <c r="F444" s="579"/>
      <c r="G444" s="168"/>
      <c r="H444" s="391"/>
      <c r="I444" s="580"/>
      <c r="J444" s="581"/>
      <c r="K444" s="582"/>
      <c r="L444" s="582"/>
      <c r="M444" s="582"/>
      <c r="N444" s="582"/>
      <c r="O444" s="583"/>
    </row>
    <row r="445" spans="1:15" ht="15.75" customHeight="1" x14ac:dyDescent="0.25">
      <c r="A445" s="574"/>
      <c r="B445" s="575"/>
      <c r="C445" s="576"/>
      <c r="D445" s="577"/>
      <c r="E445" s="578"/>
      <c r="F445" s="579"/>
      <c r="G445" s="168"/>
      <c r="H445" s="391"/>
      <c r="I445" s="580"/>
      <c r="J445" s="581"/>
      <c r="K445" s="582"/>
      <c r="L445" s="582"/>
      <c r="M445" s="582"/>
      <c r="N445" s="582"/>
      <c r="O445" s="583"/>
    </row>
    <row r="446" spans="1:15" ht="15.75" customHeight="1" x14ac:dyDescent="0.25">
      <c r="A446" s="574"/>
      <c r="B446" s="575"/>
      <c r="C446" s="576"/>
      <c r="D446" s="577"/>
      <c r="E446" s="578"/>
      <c r="F446" s="579"/>
      <c r="G446" s="168"/>
      <c r="H446" s="391"/>
      <c r="I446" s="580"/>
      <c r="J446" s="581"/>
      <c r="K446" s="582"/>
      <c r="L446" s="582"/>
      <c r="M446" s="582"/>
      <c r="N446" s="582"/>
      <c r="O446" s="583"/>
    </row>
    <row r="447" spans="1:15" ht="15.75" customHeight="1" x14ac:dyDescent="0.25">
      <c r="A447" s="574"/>
      <c r="B447" s="575"/>
      <c r="C447" s="576"/>
      <c r="D447" s="577"/>
      <c r="E447" s="578"/>
      <c r="F447" s="579"/>
      <c r="G447" s="168"/>
      <c r="H447" s="391"/>
      <c r="I447" s="580"/>
      <c r="J447" s="581"/>
      <c r="K447" s="582"/>
      <c r="L447" s="582"/>
      <c r="M447" s="582"/>
      <c r="N447" s="582"/>
      <c r="O447" s="583"/>
    </row>
    <row r="448" spans="1:15" ht="15.75" customHeight="1" x14ac:dyDescent="0.25">
      <c r="A448" s="574"/>
      <c r="B448" s="575"/>
      <c r="C448" s="576"/>
      <c r="D448" s="577"/>
      <c r="E448" s="578"/>
      <c r="F448" s="579"/>
      <c r="G448" s="168"/>
      <c r="H448" s="391"/>
      <c r="I448" s="580"/>
      <c r="J448" s="581"/>
      <c r="K448" s="582"/>
      <c r="L448" s="582"/>
      <c r="M448" s="582"/>
      <c r="N448" s="582"/>
      <c r="O448" s="583"/>
    </row>
    <row r="449" spans="1:15" ht="15.75" customHeight="1" x14ac:dyDescent="0.25">
      <c r="A449" s="574"/>
      <c r="B449" s="575"/>
      <c r="C449" s="576"/>
      <c r="D449" s="577"/>
      <c r="E449" s="578"/>
      <c r="F449" s="579"/>
      <c r="G449" s="168"/>
      <c r="H449" s="391"/>
      <c r="I449" s="580"/>
      <c r="J449" s="581"/>
      <c r="K449" s="582"/>
      <c r="L449" s="582"/>
      <c r="M449" s="582"/>
      <c r="N449" s="582"/>
      <c r="O449" s="583"/>
    </row>
    <row r="450" spans="1:15" ht="15.75" customHeight="1" x14ac:dyDescent="0.25">
      <c r="A450" s="574"/>
      <c r="B450" s="575"/>
      <c r="C450" s="576"/>
      <c r="D450" s="577"/>
      <c r="E450" s="578"/>
      <c r="F450" s="579"/>
      <c r="G450" s="168"/>
      <c r="H450" s="391"/>
      <c r="I450" s="580"/>
      <c r="J450" s="581"/>
      <c r="K450" s="582"/>
      <c r="L450" s="582"/>
      <c r="M450" s="582"/>
      <c r="N450" s="582"/>
      <c r="O450" s="583"/>
    </row>
    <row r="451" spans="1:15" ht="15.75" customHeight="1" x14ac:dyDescent="0.25">
      <c r="A451" s="574"/>
      <c r="B451" s="575"/>
      <c r="C451" s="576"/>
      <c r="D451" s="577"/>
      <c r="E451" s="578"/>
      <c r="F451" s="579"/>
      <c r="G451" s="168"/>
      <c r="H451" s="391"/>
      <c r="I451" s="580"/>
      <c r="J451" s="581"/>
      <c r="K451" s="582"/>
      <c r="L451" s="582"/>
      <c r="M451" s="582"/>
      <c r="N451" s="582"/>
      <c r="O451" s="583"/>
    </row>
    <row r="452" spans="1:15" ht="15.75" customHeight="1" x14ac:dyDescent="0.25">
      <c r="A452" s="574"/>
      <c r="B452" s="575"/>
      <c r="C452" s="576"/>
      <c r="D452" s="577"/>
      <c r="E452" s="578"/>
      <c r="F452" s="579"/>
      <c r="G452" s="168"/>
      <c r="H452" s="391"/>
      <c r="I452" s="580"/>
      <c r="J452" s="581"/>
      <c r="K452" s="582"/>
      <c r="L452" s="582"/>
      <c r="M452" s="582"/>
      <c r="N452" s="582"/>
      <c r="O452" s="583"/>
    </row>
    <row r="453" spans="1:15" ht="15.75" customHeight="1" x14ac:dyDescent="0.25">
      <c r="A453" s="574"/>
      <c r="B453" s="575"/>
      <c r="C453" s="576"/>
      <c r="D453" s="577"/>
      <c r="E453" s="578"/>
      <c r="F453" s="579"/>
      <c r="G453" s="168"/>
      <c r="H453" s="391"/>
      <c r="I453" s="580"/>
      <c r="J453" s="581"/>
      <c r="K453" s="582"/>
      <c r="L453" s="582"/>
      <c r="M453" s="582"/>
      <c r="N453" s="582"/>
      <c r="O453" s="583"/>
    </row>
    <row r="454" spans="1:15" ht="15.75" customHeight="1" x14ac:dyDescent="0.25">
      <c r="A454" s="574"/>
      <c r="B454" s="575"/>
      <c r="C454" s="576"/>
      <c r="D454" s="577"/>
      <c r="E454" s="578"/>
      <c r="F454" s="579"/>
      <c r="G454" s="168"/>
      <c r="H454" s="391"/>
      <c r="I454" s="580"/>
      <c r="J454" s="581"/>
      <c r="K454" s="582"/>
      <c r="L454" s="582"/>
      <c r="M454" s="582"/>
      <c r="N454" s="582"/>
      <c r="O454" s="583"/>
    </row>
    <row r="455" spans="1:15" ht="15.75" customHeight="1" x14ac:dyDescent="0.25">
      <c r="A455" s="574"/>
      <c r="B455" s="575"/>
      <c r="C455" s="576"/>
      <c r="D455" s="577"/>
      <c r="E455" s="578"/>
      <c r="F455" s="579"/>
      <c r="G455" s="168"/>
      <c r="H455" s="391"/>
      <c r="I455" s="580"/>
      <c r="J455" s="581"/>
      <c r="K455" s="582"/>
      <c r="L455" s="582"/>
      <c r="M455" s="582"/>
      <c r="N455" s="582"/>
      <c r="O455" s="583"/>
    </row>
    <row r="456" spans="1:15" ht="15.75" customHeight="1" x14ac:dyDescent="0.25">
      <c r="A456" s="574"/>
      <c r="B456" s="575"/>
      <c r="C456" s="576"/>
      <c r="D456" s="577"/>
      <c r="E456" s="578"/>
      <c r="F456" s="579"/>
      <c r="G456" s="168"/>
      <c r="H456" s="391"/>
      <c r="I456" s="580"/>
      <c r="J456" s="581"/>
      <c r="K456" s="582"/>
      <c r="L456" s="582"/>
      <c r="M456" s="582"/>
      <c r="N456" s="582"/>
      <c r="O456" s="583"/>
    </row>
    <row r="457" spans="1:15" ht="15.75" customHeight="1" x14ac:dyDescent="0.25">
      <c r="A457" s="574"/>
      <c r="B457" s="575"/>
      <c r="C457" s="576"/>
      <c r="D457" s="577"/>
      <c r="E457" s="578"/>
      <c r="F457" s="579"/>
      <c r="G457" s="209"/>
      <c r="H457" s="392"/>
      <c r="I457" s="586"/>
      <c r="J457" s="581"/>
      <c r="K457" s="582"/>
      <c r="L457" s="587"/>
      <c r="M457" s="587"/>
      <c r="N457" s="587"/>
      <c r="O457" s="583"/>
    </row>
    <row r="458" spans="1:15" ht="15.75" customHeight="1" x14ac:dyDescent="0.25">
      <c r="A458" s="574"/>
      <c r="B458" s="575"/>
      <c r="C458" s="576"/>
      <c r="D458" s="577"/>
      <c r="E458" s="578"/>
      <c r="F458" s="579"/>
      <c r="G458" s="168"/>
      <c r="H458" s="391"/>
      <c r="I458" s="580"/>
      <c r="J458" s="581"/>
      <c r="K458" s="582"/>
      <c r="L458" s="582"/>
      <c r="M458" s="582"/>
      <c r="N458" s="582"/>
      <c r="O458" s="583"/>
    </row>
    <row r="459" spans="1:15" ht="15.75" customHeight="1" x14ac:dyDescent="0.25">
      <c r="A459" s="574"/>
      <c r="B459" s="575"/>
      <c r="C459" s="576"/>
      <c r="D459" s="577"/>
      <c r="E459" s="578"/>
      <c r="F459" s="579"/>
      <c r="G459" s="168"/>
      <c r="H459" s="391"/>
      <c r="I459" s="580"/>
      <c r="J459" s="581"/>
      <c r="K459" s="582"/>
      <c r="L459" s="582"/>
      <c r="M459" s="582"/>
      <c r="N459" s="582"/>
      <c r="O459" s="583"/>
    </row>
    <row r="460" spans="1:15" ht="15.75" customHeight="1" x14ac:dyDescent="0.25">
      <c r="A460" s="574"/>
      <c r="B460" s="575"/>
      <c r="C460" s="576"/>
      <c r="D460" s="577"/>
      <c r="E460" s="578"/>
      <c r="F460" s="579"/>
      <c r="G460" s="168"/>
      <c r="H460" s="391"/>
      <c r="I460" s="580"/>
      <c r="J460" s="581"/>
      <c r="K460" s="582"/>
      <c r="L460" s="582"/>
      <c r="M460" s="582"/>
      <c r="N460" s="582"/>
      <c r="O460" s="583"/>
    </row>
    <row r="461" spans="1:15" ht="15.75" customHeight="1" x14ac:dyDescent="0.25">
      <c r="A461" s="574"/>
      <c r="B461" s="575"/>
      <c r="C461" s="576"/>
      <c r="D461" s="577"/>
      <c r="E461" s="578"/>
      <c r="F461" s="579"/>
      <c r="G461" s="168"/>
      <c r="H461" s="391"/>
      <c r="I461" s="580"/>
      <c r="J461" s="581"/>
      <c r="K461" s="582"/>
      <c r="L461" s="582"/>
      <c r="M461" s="582"/>
      <c r="N461" s="582"/>
      <c r="O461" s="583"/>
    </row>
    <row r="462" spans="1:15" ht="15.75" customHeight="1" x14ac:dyDescent="0.25">
      <c r="A462" s="574"/>
      <c r="B462" s="575"/>
      <c r="C462" s="576"/>
      <c r="D462" s="577"/>
      <c r="E462" s="578"/>
      <c r="F462" s="579"/>
      <c r="G462" s="168"/>
      <c r="H462" s="391"/>
      <c r="I462" s="580"/>
      <c r="J462" s="581"/>
      <c r="K462" s="582"/>
      <c r="L462" s="582"/>
      <c r="M462" s="582"/>
      <c r="N462" s="582"/>
      <c r="O462" s="583"/>
    </row>
    <row r="463" spans="1:15" ht="15.75" customHeight="1" x14ac:dyDescent="0.25">
      <c r="A463" s="574"/>
      <c r="B463" s="575"/>
      <c r="C463" s="576"/>
      <c r="D463" s="577"/>
      <c r="E463" s="578"/>
      <c r="F463" s="579"/>
      <c r="G463" s="168"/>
      <c r="H463" s="391"/>
      <c r="I463" s="580"/>
      <c r="J463" s="581"/>
      <c r="K463" s="582"/>
      <c r="L463" s="582"/>
      <c r="M463" s="582"/>
      <c r="N463" s="582"/>
      <c r="O463" s="583"/>
    </row>
    <row r="464" spans="1:15" ht="15.75" customHeight="1" x14ac:dyDescent="0.25">
      <c r="A464" s="574"/>
      <c r="B464" s="575"/>
      <c r="C464" s="576"/>
      <c r="D464" s="577"/>
      <c r="E464" s="578"/>
      <c r="F464" s="579"/>
      <c r="G464" s="168"/>
      <c r="H464" s="391"/>
      <c r="I464" s="580"/>
      <c r="J464" s="581"/>
      <c r="K464" s="582"/>
      <c r="L464" s="582"/>
      <c r="M464" s="582"/>
      <c r="N464" s="582"/>
      <c r="O464" s="583"/>
    </row>
    <row r="465" spans="1:15" ht="15.75" customHeight="1" x14ac:dyDescent="0.25">
      <c r="A465" s="574"/>
      <c r="B465" s="575"/>
      <c r="C465" s="576"/>
      <c r="D465" s="577"/>
      <c r="E465" s="578"/>
      <c r="F465" s="579"/>
      <c r="G465" s="168"/>
      <c r="H465" s="391"/>
      <c r="I465" s="580"/>
      <c r="J465" s="581"/>
      <c r="K465" s="582"/>
      <c r="L465" s="582"/>
      <c r="M465" s="582"/>
      <c r="N465" s="582"/>
      <c r="O465" s="583"/>
    </row>
    <row r="466" spans="1:15" ht="15.75" customHeight="1" x14ac:dyDescent="0.25">
      <c r="A466" s="574"/>
      <c r="B466" s="575"/>
      <c r="C466" s="576"/>
      <c r="D466" s="577"/>
      <c r="E466" s="578"/>
      <c r="F466" s="585"/>
      <c r="G466" s="168"/>
      <c r="H466" s="392"/>
      <c r="I466" s="586"/>
      <c r="J466" s="581"/>
      <c r="K466" s="582"/>
      <c r="L466" s="582"/>
      <c r="M466" s="582"/>
      <c r="N466" s="582"/>
      <c r="O466" s="583"/>
    </row>
    <row r="467" spans="1:15" ht="15.75" customHeight="1" x14ac:dyDescent="0.25">
      <c r="A467" s="574"/>
      <c r="B467" s="575"/>
      <c r="C467" s="576"/>
      <c r="D467" s="577"/>
      <c r="E467" s="578"/>
      <c r="F467" s="579"/>
      <c r="G467" s="168"/>
      <c r="H467" s="391"/>
      <c r="I467" s="580"/>
      <c r="J467" s="581"/>
      <c r="K467" s="582"/>
      <c r="L467" s="582"/>
      <c r="M467" s="582"/>
      <c r="N467" s="582"/>
      <c r="O467" s="213"/>
    </row>
    <row r="468" spans="1:15" ht="15.75" customHeight="1" x14ac:dyDescent="0.25">
      <c r="A468" s="574"/>
      <c r="B468" s="575"/>
      <c r="C468" s="576"/>
      <c r="D468" s="577"/>
      <c r="E468" s="578"/>
      <c r="F468" s="579"/>
      <c r="G468" s="168"/>
      <c r="H468" s="391"/>
      <c r="I468" s="580"/>
      <c r="J468" s="581"/>
      <c r="K468" s="582"/>
      <c r="L468" s="582"/>
      <c r="M468" s="582"/>
      <c r="N468" s="582"/>
      <c r="O468" s="583"/>
    </row>
    <row r="469" spans="1:15" ht="15.75" customHeight="1" x14ac:dyDescent="0.25">
      <c r="A469" s="574"/>
      <c r="B469" s="575"/>
      <c r="C469" s="576"/>
      <c r="D469" s="577"/>
      <c r="E469" s="578"/>
      <c r="F469" s="579"/>
      <c r="G469" s="168"/>
      <c r="H469" s="391"/>
      <c r="I469" s="580"/>
      <c r="J469" s="581"/>
      <c r="K469" s="582"/>
      <c r="L469" s="582"/>
      <c r="M469" s="582"/>
      <c r="N469" s="582"/>
      <c r="O469" s="583"/>
    </row>
    <row r="470" spans="1:15" ht="15.75" customHeight="1" x14ac:dyDescent="0.25">
      <c r="A470" s="574"/>
      <c r="B470" s="575"/>
      <c r="C470" s="576"/>
      <c r="D470" s="577"/>
      <c r="E470" s="578"/>
      <c r="F470" s="579"/>
      <c r="G470" s="168"/>
      <c r="H470" s="391"/>
      <c r="I470" s="580"/>
      <c r="J470" s="581"/>
      <c r="K470" s="582"/>
      <c r="L470" s="582"/>
      <c r="M470" s="582"/>
      <c r="N470" s="582"/>
      <c r="O470" s="583"/>
    </row>
    <row r="471" spans="1:15" ht="15.75" customHeight="1" x14ac:dyDescent="0.25">
      <c r="A471" s="574"/>
      <c r="B471" s="575"/>
      <c r="C471" s="576"/>
      <c r="D471" s="577"/>
      <c r="E471" s="578"/>
      <c r="F471" s="585"/>
      <c r="G471" s="168"/>
      <c r="H471" s="392"/>
      <c r="I471" s="586"/>
      <c r="J471" s="581"/>
      <c r="K471" s="582"/>
      <c r="L471" s="587"/>
      <c r="M471" s="587"/>
      <c r="N471" s="587"/>
      <c r="O471" s="583"/>
    </row>
    <row r="472" spans="1:15" ht="15.75" customHeight="1" x14ac:dyDescent="0.25">
      <c r="A472" s="574"/>
      <c r="B472" s="575"/>
      <c r="C472" s="576"/>
      <c r="D472" s="577"/>
      <c r="E472" s="578"/>
      <c r="F472" s="579"/>
      <c r="G472" s="168"/>
      <c r="H472" s="391"/>
      <c r="I472" s="580"/>
      <c r="J472" s="581"/>
      <c r="K472" s="582"/>
      <c r="L472" s="582"/>
      <c r="M472" s="582"/>
      <c r="N472" s="582"/>
      <c r="O472" s="583"/>
    </row>
    <row r="473" spans="1:15" ht="15.75" customHeight="1" x14ac:dyDescent="0.25">
      <c r="A473" s="574"/>
      <c r="B473" s="575"/>
      <c r="C473" s="576"/>
      <c r="D473" s="577"/>
      <c r="E473" s="578"/>
      <c r="F473" s="579"/>
      <c r="G473" s="168"/>
      <c r="H473" s="391"/>
      <c r="I473" s="580"/>
      <c r="J473" s="581"/>
      <c r="K473" s="582"/>
      <c r="L473" s="582"/>
      <c r="M473" s="582"/>
      <c r="N473" s="582"/>
      <c r="O473" s="583"/>
    </row>
    <row r="474" spans="1:15" ht="15.75" customHeight="1" x14ac:dyDescent="0.25">
      <c r="A474" s="574"/>
      <c r="B474" s="575"/>
      <c r="C474" s="576"/>
      <c r="D474" s="577"/>
      <c r="E474" s="584"/>
      <c r="F474" s="585"/>
      <c r="G474" s="209"/>
      <c r="H474" s="392"/>
      <c r="I474" s="586"/>
      <c r="J474" s="581"/>
      <c r="K474" s="582"/>
      <c r="L474" s="587"/>
      <c r="M474" s="587"/>
      <c r="N474" s="587"/>
      <c r="O474" s="583"/>
    </row>
    <row r="475" spans="1:15" ht="15.75" customHeight="1" x14ac:dyDescent="0.25">
      <c r="A475" s="589"/>
      <c r="B475" s="590"/>
      <c r="C475" s="591"/>
      <c r="D475" s="592"/>
      <c r="E475" s="593"/>
      <c r="F475" s="594"/>
      <c r="G475" s="168"/>
      <c r="H475" s="391"/>
      <c r="I475" s="595"/>
      <c r="J475" s="596"/>
      <c r="K475" s="597"/>
      <c r="L475" s="597"/>
      <c r="M475" s="597"/>
      <c r="N475" s="597"/>
      <c r="O475" s="598"/>
    </row>
    <row r="476" spans="1:15" ht="15.75" customHeight="1" x14ac:dyDescent="0.25">
      <c r="A476" s="599"/>
      <c r="B476" s="600"/>
      <c r="C476" s="591"/>
      <c r="D476" s="592"/>
      <c r="E476" s="601"/>
      <c r="F476" s="602"/>
      <c r="G476" s="209"/>
      <c r="H476" s="392"/>
      <c r="I476" s="603"/>
      <c r="J476" s="604"/>
      <c r="K476" s="605"/>
      <c r="L476" s="605"/>
      <c r="M476" s="605"/>
      <c r="N476" s="605"/>
      <c r="O476" s="606"/>
    </row>
  </sheetData>
  <sheetProtection selectLockedCells="1" sort="0" autoFilter="0"/>
  <dataConsolidate/>
  <phoneticPr fontId="11" type="noConversion"/>
  <conditionalFormatting sqref="K3:K1048576">
    <cfRule type="cellIs" dxfId="9" priority="1" operator="equal">
      <formula>"PERDU"</formula>
    </cfRule>
    <cfRule type="cellIs" dxfId="8" priority="2" operator="equal">
      <formula>"GAGNE"</formula>
    </cfRule>
    <cfRule type="cellIs" dxfId="7" priority="3" operator="equal">
      <formula>"REPORTE"</formula>
    </cfRule>
    <cfRule type="cellIs" dxfId="6" priority="4" operator="equal">
      <formula>"EN COURS"</formula>
    </cfRule>
    <cfRule type="cellIs" dxfId="5" priority="5" operator="equal">
      <formula>"ABANDONNE"</formula>
    </cfRule>
  </conditionalFormatting>
  <pageMargins left="0" right="0" top="0" bottom="0" header="0" footer="0"/>
  <pageSetup paperSize="8" scale="41" fitToHeight="0" orientation="landscape" horizontalDpi="300" verticalDpi="300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LISTE!$E$2:$E$10</xm:f>
          </x14:formula1>
          <xm:sqref>C224:C249 B153:B1048576</xm:sqref>
        </x14:dataValidation>
        <x14:dataValidation type="list" allowBlank="1" showInputMessage="1" showErrorMessage="1">
          <x14:formula1>
            <xm:f>LISTE!$A$2:$A$11</xm:f>
          </x14:formula1>
          <xm:sqref>E153:E1048576</xm:sqref>
        </x14:dataValidation>
        <x14:dataValidation type="list" allowBlank="1" showInputMessage="1" showErrorMessage="1">
          <x14:formula1>
            <xm:f>LISTE!$G$2:$G$11</xm:f>
          </x14:formula1>
          <xm:sqref>K3:K476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50"/>
  <sheetViews>
    <sheetView zoomScale="130" zoomScaleNormal="130" workbookViewId="0">
      <selection activeCell="C8" sqref="C8"/>
    </sheetView>
  </sheetViews>
  <sheetFormatPr baseColWidth="10" defaultColWidth="11.42578125" defaultRowHeight="15" x14ac:dyDescent="0.25"/>
  <cols>
    <col min="1" max="1" width="6.5703125" style="710" bestFit="1" customWidth="1"/>
    <col min="2" max="2" width="13.7109375" style="710" bestFit="1" customWidth="1"/>
    <col min="3" max="3" width="25.7109375" style="710" bestFit="1" customWidth="1"/>
    <col min="4" max="4" width="13.28515625" style="710" bestFit="1" customWidth="1"/>
    <col min="5" max="5" width="10.42578125" style="710" bestFit="1" customWidth="1"/>
    <col min="6" max="6" width="13.85546875" style="711" bestFit="1" customWidth="1"/>
    <col min="7" max="7" width="9.85546875" style="710" bestFit="1" customWidth="1"/>
    <col min="8" max="8" width="9.42578125" style="710" bestFit="1" customWidth="1"/>
    <col min="9" max="9" width="13.140625" style="710" bestFit="1" customWidth="1"/>
    <col min="10" max="10" width="13.5703125" style="710" bestFit="1" customWidth="1"/>
    <col min="11" max="11" width="27.85546875" style="710" customWidth="1"/>
  </cols>
  <sheetData>
    <row r="1" spans="1:11" ht="15.75" thickBot="1" x14ac:dyDescent="0.3">
      <c r="A1"/>
      <c r="B1"/>
      <c r="C1"/>
      <c r="D1"/>
      <c r="E1" s="461">
        <f>SUBTOTAL(3,E3:E182)</f>
        <v>0</v>
      </c>
      <c r="F1" s="462">
        <f>SUBTOTAL(9,F3:F182)</f>
        <v>0</v>
      </c>
      <c r="G1"/>
      <c r="H1"/>
      <c r="I1"/>
      <c r="J1"/>
      <c r="K1"/>
    </row>
    <row r="2" spans="1:11" s="386" customFormat="1" ht="45.75" thickBot="1" x14ac:dyDescent="0.3">
      <c r="A2" s="380" t="s">
        <v>53</v>
      </c>
      <c r="B2" s="381" t="s">
        <v>54</v>
      </c>
      <c r="C2" s="382" t="s">
        <v>55</v>
      </c>
      <c r="D2" s="382" t="s">
        <v>57</v>
      </c>
      <c r="E2" s="382" t="s">
        <v>58</v>
      </c>
      <c r="F2" s="383" t="s">
        <v>60</v>
      </c>
      <c r="G2" s="384" t="s">
        <v>61</v>
      </c>
      <c r="H2" s="385" t="s">
        <v>64</v>
      </c>
      <c r="I2" s="385" t="s">
        <v>65</v>
      </c>
      <c r="J2" s="385" t="s">
        <v>66</v>
      </c>
      <c r="K2" s="385" t="s">
        <v>67</v>
      </c>
    </row>
    <row r="3" spans="1:11" x14ac:dyDescent="0.25">
      <c r="A3" s="700"/>
      <c r="B3" s="669"/>
      <c r="C3" s="701"/>
      <c r="D3" s="189"/>
      <c r="E3" s="189"/>
      <c r="F3" s="685"/>
      <c r="G3" s="702"/>
      <c r="H3" s="703"/>
      <c r="I3" s="703"/>
      <c r="J3" s="704"/>
      <c r="K3" s="705"/>
    </row>
    <row r="4" spans="1:11" x14ac:dyDescent="0.25">
      <c r="A4" s="700"/>
      <c r="B4" s="669"/>
      <c r="C4" s="701"/>
      <c r="D4" s="189"/>
      <c r="E4" s="706"/>
      <c r="F4" s="685"/>
      <c r="G4" s="702"/>
      <c r="H4" s="703"/>
      <c r="I4" s="703"/>
      <c r="J4" s="704"/>
      <c r="K4" s="707"/>
    </row>
    <row r="5" spans="1:11" x14ac:dyDescent="0.25">
      <c r="A5" s="700"/>
      <c r="B5" s="669"/>
      <c r="C5" s="701"/>
      <c r="D5" s="189"/>
      <c r="E5" s="189"/>
      <c r="F5" s="685"/>
      <c r="G5" s="702"/>
      <c r="H5" s="703"/>
      <c r="I5" s="703"/>
      <c r="J5" s="704"/>
      <c r="K5" s="705"/>
    </row>
    <row r="6" spans="1:11" x14ac:dyDescent="0.25">
      <c r="A6" s="700"/>
      <c r="B6" s="669"/>
      <c r="C6" s="701"/>
      <c r="D6" s="189"/>
      <c r="E6" s="706"/>
      <c r="F6" s="685"/>
      <c r="G6" s="702"/>
      <c r="H6" s="703"/>
      <c r="I6" s="703"/>
      <c r="J6" s="704"/>
      <c r="K6" s="705"/>
    </row>
    <row r="7" spans="1:11" x14ac:dyDescent="0.25">
      <c r="A7" s="700"/>
      <c r="B7" s="669"/>
      <c r="C7" s="701"/>
      <c r="D7" s="189"/>
      <c r="E7" s="708"/>
      <c r="F7" s="685"/>
      <c r="G7" s="702"/>
      <c r="H7" s="703"/>
      <c r="I7" s="703"/>
      <c r="J7" s="704"/>
      <c r="K7" s="705"/>
    </row>
    <row r="8" spans="1:11" x14ac:dyDescent="0.25">
      <c r="A8" s="700"/>
      <c r="B8" s="669"/>
      <c r="C8" s="701"/>
      <c r="D8" s="189"/>
      <c r="E8" s="189"/>
      <c r="F8" s="685"/>
      <c r="G8" s="702"/>
      <c r="H8" s="703"/>
      <c r="I8" s="703"/>
      <c r="J8" s="704"/>
      <c r="K8" s="705"/>
    </row>
    <row r="9" spans="1:11" x14ac:dyDescent="0.25">
      <c r="A9" s="700"/>
      <c r="B9" s="669"/>
      <c r="C9" s="701"/>
      <c r="D9" s="189"/>
      <c r="E9" s="189"/>
      <c r="F9" s="685"/>
      <c r="G9" s="702"/>
      <c r="H9" s="703"/>
      <c r="I9" s="703"/>
      <c r="J9" s="704"/>
      <c r="K9" s="705"/>
    </row>
    <row r="10" spans="1:11" x14ac:dyDescent="0.25">
      <c r="A10" s="700"/>
      <c r="B10" s="669"/>
      <c r="C10" s="701"/>
      <c r="D10" s="189"/>
      <c r="E10" s="189"/>
      <c r="F10" s="685"/>
      <c r="G10" s="702"/>
      <c r="H10" s="703"/>
      <c r="I10" s="703"/>
      <c r="J10" s="704"/>
      <c r="K10" s="705"/>
    </row>
    <row r="11" spans="1:11" x14ac:dyDescent="0.25">
      <c r="A11" s="700"/>
      <c r="B11" s="669"/>
      <c r="C11" s="701"/>
      <c r="D11" s="189"/>
      <c r="E11" s="189"/>
      <c r="F11" s="685"/>
      <c r="G11" s="702"/>
      <c r="H11" s="703"/>
      <c r="I11" s="703"/>
      <c r="J11" s="704"/>
      <c r="K11" s="705"/>
    </row>
    <row r="12" spans="1:11" ht="15" customHeight="1" x14ac:dyDescent="0.25">
      <c r="A12" s="700"/>
      <c r="B12" s="669"/>
      <c r="C12" s="701"/>
      <c r="D12" s="189"/>
      <c r="E12" s="708"/>
      <c r="F12" s="685"/>
      <c r="G12" s="702"/>
      <c r="H12" s="703"/>
      <c r="I12" s="703"/>
      <c r="J12" s="704"/>
      <c r="K12" s="705"/>
    </row>
    <row r="13" spans="1:11" ht="15" customHeight="1" x14ac:dyDescent="0.25">
      <c r="A13" s="700"/>
      <c r="B13" s="669"/>
      <c r="C13" s="701"/>
      <c r="D13" s="189"/>
      <c r="E13" s="708"/>
      <c r="F13" s="685"/>
      <c r="G13" s="702"/>
      <c r="H13" s="703"/>
      <c r="I13" s="703"/>
      <c r="J13" s="704"/>
      <c r="K13" s="705"/>
    </row>
    <row r="14" spans="1:11" x14ac:dyDescent="0.25">
      <c r="A14" s="700"/>
      <c r="B14" s="669"/>
      <c r="C14" s="701"/>
      <c r="D14" s="189"/>
      <c r="E14" s="708"/>
      <c r="F14" s="685"/>
      <c r="G14" s="702"/>
      <c r="H14" s="703"/>
      <c r="I14" s="703"/>
      <c r="J14" s="704"/>
      <c r="K14" s="705"/>
    </row>
    <row r="15" spans="1:11" x14ac:dyDescent="0.25">
      <c r="A15" s="700"/>
      <c r="B15" s="669"/>
      <c r="C15" s="701"/>
      <c r="D15" s="189"/>
      <c r="E15" s="189"/>
      <c r="F15" s="685"/>
      <c r="G15" s="702"/>
      <c r="H15" s="703"/>
      <c r="I15" s="703"/>
      <c r="J15" s="704"/>
      <c r="K15" s="705"/>
    </row>
    <row r="16" spans="1:11" x14ac:dyDescent="0.25">
      <c r="A16" s="700"/>
      <c r="B16" s="669"/>
      <c r="C16" s="701"/>
      <c r="D16" s="189"/>
      <c r="E16" s="189"/>
      <c r="F16" s="685"/>
      <c r="G16" s="702"/>
      <c r="H16" s="703"/>
      <c r="I16" s="703"/>
      <c r="J16" s="704"/>
      <c r="K16" s="705"/>
    </row>
    <row r="17" spans="1:11" x14ac:dyDescent="0.25">
      <c r="A17" s="700"/>
      <c r="B17" s="669"/>
      <c r="C17" s="701"/>
      <c r="D17" s="189"/>
      <c r="E17" s="708"/>
      <c r="F17" s="685"/>
      <c r="G17" s="702"/>
      <c r="H17" s="703"/>
      <c r="I17" s="703"/>
      <c r="J17" s="704"/>
      <c r="K17" s="705"/>
    </row>
    <row r="18" spans="1:11" x14ac:dyDescent="0.25">
      <c r="A18" s="700"/>
      <c r="B18" s="669"/>
      <c r="C18" s="701"/>
      <c r="D18" s="189"/>
      <c r="E18" s="189"/>
      <c r="F18" s="685"/>
      <c r="G18" s="702"/>
      <c r="H18" s="703"/>
      <c r="I18" s="703"/>
      <c r="J18" s="704"/>
      <c r="K18" s="705"/>
    </row>
    <row r="19" spans="1:11" x14ac:dyDescent="0.25">
      <c r="A19" s="700"/>
      <c r="B19" s="669"/>
      <c r="C19" s="701"/>
      <c r="D19" s="189"/>
      <c r="E19" s="189"/>
      <c r="F19" s="685"/>
      <c r="G19" s="702"/>
      <c r="H19" s="703"/>
      <c r="I19" s="703"/>
      <c r="J19" s="704"/>
      <c r="K19" s="705"/>
    </row>
    <row r="20" spans="1:11" x14ac:dyDescent="0.25">
      <c r="A20" s="700"/>
      <c r="B20" s="669"/>
      <c r="C20" s="701"/>
      <c r="D20" s="189"/>
      <c r="E20" s="189"/>
      <c r="F20" s="685"/>
      <c r="G20" s="702"/>
      <c r="H20" s="703"/>
      <c r="I20" s="703"/>
      <c r="J20" s="704"/>
      <c r="K20" s="705"/>
    </row>
    <row r="21" spans="1:11" x14ac:dyDescent="0.25">
      <c r="A21" s="700"/>
      <c r="B21" s="14"/>
      <c r="C21" s="701"/>
      <c r="D21" s="189"/>
      <c r="E21" s="189"/>
      <c r="F21" s="685"/>
      <c r="G21" s="702"/>
      <c r="H21" s="704"/>
      <c r="I21" s="704"/>
      <c r="J21" s="704"/>
      <c r="K21" s="705"/>
    </row>
    <row r="22" spans="1:11" x14ac:dyDescent="0.25">
      <c r="A22" s="700"/>
      <c r="B22" s="14"/>
      <c r="C22" s="701"/>
      <c r="D22" s="189"/>
      <c r="E22" s="189"/>
      <c r="F22" s="685"/>
      <c r="G22" s="702"/>
      <c r="H22" s="704"/>
      <c r="I22" s="704"/>
      <c r="J22" s="704"/>
      <c r="K22" s="705"/>
    </row>
    <row r="23" spans="1:11" x14ac:dyDescent="0.25">
      <c r="A23" s="700"/>
      <c r="B23" s="14"/>
      <c r="C23" s="701"/>
      <c r="D23" s="189"/>
      <c r="E23" s="189"/>
      <c r="F23" s="685"/>
      <c r="G23" s="702"/>
      <c r="H23" s="704"/>
      <c r="I23" s="704"/>
      <c r="J23" s="704"/>
      <c r="K23" s="705"/>
    </row>
    <row r="24" spans="1:11" x14ac:dyDescent="0.25">
      <c r="A24" s="700"/>
      <c r="B24" s="14"/>
      <c r="C24" s="701"/>
      <c r="D24" s="189"/>
      <c r="E24" s="189"/>
      <c r="F24" s="685"/>
      <c r="G24" s="702"/>
      <c r="H24" s="704"/>
      <c r="I24" s="704"/>
      <c r="J24" s="704"/>
      <c r="K24" s="705"/>
    </row>
    <row r="25" spans="1:11" x14ac:dyDescent="0.25">
      <c r="A25" s="700"/>
      <c r="B25" s="14"/>
      <c r="C25" s="701"/>
      <c r="D25" s="189"/>
      <c r="E25" s="189"/>
      <c r="F25" s="685"/>
      <c r="G25" s="702"/>
      <c r="H25" s="704"/>
      <c r="I25" s="704"/>
      <c r="J25" s="704"/>
      <c r="K25" s="705"/>
    </row>
    <row r="26" spans="1:11" x14ac:dyDescent="0.25">
      <c r="A26" s="700"/>
      <c r="B26" s="14"/>
      <c r="C26" s="701"/>
      <c r="D26" s="189"/>
      <c r="E26" s="189"/>
      <c r="F26" s="685"/>
      <c r="G26" s="702"/>
      <c r="H26" s="704"/>
      <c r="I26" s="704"/>
      <c r="J26" s="704"/>
      <c r="K26" s="705"/>
    </row>
    <row r="27" spans="1:11" x14ac:dyDescent="0.25">
      <c r="A27" s="700"/>
      <c r="B27" s="14"/>
      <c r="C27" s="189"/>
      <c r="D27" s="189"/>
      <c r="E27" s="189"/>
      <c r="F27" s="685"/>
      <c r="G27" s="702"/>
      <c r="H27" s="704"/>
      <c r="I27" s="704"/>
      <c r="J27" s="704"/>
      <c r="K27" s="705"/>
    </row>
    <row r="28" spans="1:11" x14ac:dyDescent="0.25">
      <c r="A28" s="700"/>
      <c r="B28" s="14"/>
      <c r="C28" s="189"/>
      <c r="D28" s="189"/>
      <c r="E28" s="708"/>
      <c r="F28" s="685"/>
      <c r="G28" s="702"/>
      <c r="H28" s="704"/>
      <c r="I28" s="704"/>
      <c r="J28" s="704"/>
      <c r="K28" s="705"/>
    </row>
    <row r="29" spans="1:11" x14ac:dyDescent="0.25">
      <c r="A29" s="700"/>
      <c r="B29" s="14"/>
      <c r="C29" s="189"/>
      <c r="D29" s="189"/>
      <c r="E29" s="708"/>
      <c r="F29" s="685"/>
      <c r="G29" s="702"/>
      <c r="H29" s="704"/>
      <c r="I29" s="704"/>
      <c r="J29" s="704"/>
      <c r="K29" s="705"/>
    </row>
    <row r="30" spans="1:11" x14ac:dyDescent="0.25">
      <c r="A30" s="700"/>
      <c r="B30" s="14"/>
      <c r="C30" s="189"/>
      <c r="D30" s="189"/>
      <c r="E30" s="708"/>
      <c r="F30" s="685"/>
      <c r="G30" s="702"/>
      <c r="H30" s="704"/>
      <c r="I30" s="704"/>
      <c r="J30" s="704"/>
      <c r="K30" s="705"/>
    </row>
    <row r="31" spans="1:11" x14ac:dyDescent="0.25">
      <c r="A31" s="700"/>
      <c r="B31" s="14"/>
      <c r="C31" s="189"/>
      <c r="D31" s="189"/>
      <c r="E31" s="189"/>
      <c r="F31" s="685"/>
      <c r="G31" s="702"/>
      <c r="H31" s="704"/>
      <c r="I31" s="704"/>
      <c r="J31" s="704"/>
      <c r="K31" s="705"/>
    </row>
    <row r="32" spans="1:11" x14ac:dyDescent="0.25">
      <c r="A32" s="700"/>
      <c r="B32" s="14"/>
      <c r="C32" s="189"/>
      <c r="D32" s="189"/>
      <c r="E32" s="708"/>
      <c r="F32" s="685"/>
      <c r="G32" s="702"/>
      <c r="H32" s="704"/>
      <c r="I32" s="704"/>
      <c r="J32" s="704"/>
      <c r="K32" s="705"/>
    </row>
    <row r="33" spans="1:11" x14ac:dyDescent="0.25">
      <c r="A33" s="700"/>
      <c r="B33" s="14"/>
      <c r="C33" s="189"/>
      <c r="D33" s="189"/>
      <c r="E33" s="189"/>
      <c r="F33" s="685"/>
      <c r="G33" s="702"/>
      <c r="H33" s="704"/>
      <c r="I33" s="704"/>
      <c r="J33" s="704"/>
      <c r="K33" s="705"/>
    </row>
    <row r="34" spans="1:11" x14ac:dyDescent="0.25">
      <c r="A34" s="700"/>
      <c r="B34" s="14"/>
      <c r="C34" s="189"/>
      <c r="D34" s="189"/>
      <c r="E34" s="708"/>
      <c r="F34" s="685"/>
      <c r="G34" s="702"/>
      <c r="H34" s="704"/>
      <c r="I34" s="704"/>
      <c r="J34" s="704"/>
      <c r="K34" s="705"/>
    </row>
    <row r="35" spans="1:11" x14ac:dyDescent="0.25">
      <c r="A35" s="700"/>
      <c r="B35" s="14"/>
      <c r="C35" s="189"/>
      <c r="D35" s="189"/>
      <c r="E35" s="189"/>
      <c r="F35" s="685"/>
      <c r="G35" s="702"/>
      <c r="H35" s="704"/>
      <c r="I35" s="704"/>
      <c r="J35" s="704"/>
      <c r="K35" s="705"/>
    </row>
    <row r="36" spans="1:11" x14ac:dyDescent="0.25">
      <c r="A36" s="700"/>
      <c r="B36" s="14"/>
      <c r="C36" s="189"/>
      <c r="D36" s="189"/>
      <c r="E36" s="708"/>
      <c r="F36" s="685"/>
      <c r="G36" s="702"/>
      <c r="H36" s="704"/>
      <c r="I36" s="704"/>
      <c r="J36" s="704"/>
      <c r="K36" s="705"/>
    </row>
    <row r="37" spans="1:11" x14ac:dyDescent="0.25">
      <c r="A37" s="700"/>
      <c r="B37" s="14"/>
      <c r="C37" s="189"/>
      <c r="D37" s="189"/>
      <c r="E37" s="707"/>
      <c r="F37" s="685"/>
      <c r="G37" s="702"/>
      <c r="H37" s="709"/>
      <c r="I37" s="709"/>
      <c r="J37" s="709"/>
      <c r="K37" s="707"/>
    </row>
    <row r="38" spans="1:11" x14ac:dyDescent="0.25">
      <c r="A38" s="700"/>
      <c r="B38" s="14"/>
      <c r="C38" s="189"/>
      <c r="D38" s="189"/>
      <c r="E38" s="189"/>
      <c r="F38" s="685"/>
      <c r="G38" s="702"/>
      <c r="H38" s="704"/>
      <c r="I38" s="704"/>
      <c r="J38" s="704"/>
      <c r="K38" s="705"/>
    </row>
    <row r="39" spans="1:11" x14ac:dyDescent="0.25">
      <c r="A39" s="700"/>
      <c r="B39" s="14"/>
      <c r="C39" s="189"/>
      <c r="D39" s="189"/>
      <c r="E39" s="708"/>
      <c r="F39" s="685"/>
      <c r="G39" s="702"/>
      <c r="H39" s="704"/>
      <c r="I39" s="704"/>
      <c r="J39" s="704"/>
      <c r="K39" s="705"/>
    </row>
    <row r="40" spans="1:11" x14ac:dyDescent="0.25">
      <c r="A40" s="700"/>
      <c r="B40" s="14"/>
      <c r="C40" s="189"/>
      <c r="D40" s="189"/>
      <c r="E40" s="189"/>
      <c r="F40" s="685"/>
      <c r="G40" s="702"/>
      <c r="H40" s="704"/>
      <c r="I40" s="704"/>
      <c r="J40" s="704"/>
      <c r="K40" s="705"/>
    </row>
    <row r="41" spans="1:11" x14ac:dyDescent="0.25">
      <c r="A41" s="700"/>
      <c r="B41" s="14"/>
      <c r="C41" s="189"/>
      <c r="D41" s="189"/>
      <c r="E41" s="708"/>
      <c r="F41" s="685"/>
      <c r="G41" s="702"/>
      <c r="H41" s="704"/>
      <c r="I41" s="704"/>
      <c r="J41" s="704"/>
      <c r="K41" s="705"/>
    </row>
    <row r="42" spans="1:11" x14ac:dyDescent="0.25">
      <c r="A42" s="700"/>
      <c r="B42" s="14"/>
      <c r="C42" s="189"/>
      <c r="D42" s="189"/>
      <c r="E42" s="189"/>
      <c r="F42" s="685"/>
      <c r="G42" s="702"/>
      <c r="H42" s="704"/>
      <c r="I42" s="704"/>
      <c r="J42" s="704"/>
      <c r="K42" s="705"/>
    </row>
    <row r="43" spans="1:11" x14ac:dyDescent="0.25">
      <c r="A43" s="700"/>
      <c r="B43" s="14"/>
      <c r="C43" s="189"/>
      <c r="D43" s="189"/>
      <c r="E43" s="189"/>
      <c r="F43" s="685"/>
      <c r="G43" s="702"/>
      <c r="H43" s="704"/>
      <c r="I43" s="704"/>
      <c r="J43" s="704"/>
      <c r="K43" s="705"/>
    </row>
    <row r="44" spans="1:11" x14ac:dyDescent="0.25">
      <c r="A44" s="700"/>
      <c r="B44" s="14"/>
      <c r="C44" s="189"/>
      <c r="D44" s="189"/>
      <c r="E44" s="708"/>
      <c r="F44" s="685"/>
      <c r="G44" s="702"/>
      <c r="H44" s="704"/>
      <c r="I44" s="704"/>
      <c r="J44" s="704"/>
      <c r="K44" s="705"/>
    </row>
    <row r="45" spans="1:11" x14ac:dyDescent="0.25">
      <c r="A45" s="700"/>
      <c r="B45" s="14"/>
      <c r="C45" s="189"/>
      <c r="D45" s="189"/>
      <c r="E45" s="708"/>
      <c r="F45" s="685"/>
      <c r="G45" s="702"/>
      <c r="H45" s="704"/>
      <c r="I45" s="704"/>
      <c r="J45" s="704"/>
      <c r="K45" s="705"/>
    </row>
    <row r="46" spans="1:11" x14ac:dyDescent="0.25">
      <c r="A46" s="700"/>
      <c r="B46" s="14"/>
      <c r="C46" s="189"/>
      <c r="D46" s="189"/>
      <c r="E46" s="708"/>
      <c r="F46" s="685"/>
      <c r="G46" s="702"/>
      <c r="H46" s="704"/>
      <c r="I46" s="704"/>
      <c r="J46" s="704"/>
      <c r="K46" s="705"/>
    </row>
    <row r="47" spans="1:11" x14ac:dyDescent="0.25">
      <c r="A47" s="700"/>
      <c r="B47" s="14"/>
      <c r="C47" s="189"/>
      <c r="D47" s="189"/>
      <c r="E47" s="708"/>
      <c r="F47" s="685"/>
      <c r="G47" s="702"/>
      <c r="H47" s="704"/>
      <c r="I47" s="704"/>
      <c r="J47" s="704"/>
      <c r="K47" s="705"/>
    </row>
    <row r="48" spans="1:11" x14ac:dyDescent="0.25">
      <c r="A48" s="700"/>
      <c r="B48" s="14"/>
      <c r="C48" s="189"/>
      <c r="D48" s="189"/>
      <c r="E48" s="708"/>
      <c r="F48" s="685"/>
      <c r="G48" s="702"/>
      <c r="H48" s="704"/>
      <c r="I48" s="704"/>
      <c r="J48" s="704"/>
      <c r="K48" s="705"/>
    </row>
    <row r="49" spans="1:11" x14ac:dyDescent="0.25">
      <c r="A49" s="700"/>
      <c r="B49" s="14"/>
      <c r="C49" s="189"/>
      <c r="D49" s="189"/>
      <c r="E49" s="708"/>
      <c r="F49" s="685"/>
      <c r="G49" s="702"/>
      <c r="H49" s="704"/>
      <c r="I49" s="704"/>
      <c r="J49" s="704"/>
      <c r="K49" s="705"/>
    </row>
    <row r="50" spans="1:11" x14ac:dyDescent="0.25">
      <c r="A50" s="700"/>
      <c r="B50" s="14"/>
      <c r="C50" s="189"/>
      <c r="D50" s="189"/>
      <c r="E50" s="708"/>
      <c r="F50" s="685"/>
      <c r="G50" s="702"/>
      <c r="H50" s="704"/>
      <c r="I50" s="704"/>
      <c r="J50" s="704"/>
      <c r="K50" s="705"/>
    </row>
  </sheetData>
  <autoFilter ref="A2:K2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LISTE!$E$2:$E$10</xm:f>
          </x14:formula1>
          <xm:sqref>B3:B1048576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AC221"/>
  <sheetViews>
    <sheetView zoomScale="85" zoomScaleNormal="85" zoomScaleSheetLayoutView="100" workbookViewId="0">
      <pane xSplit="8" ySplit="2" topLeftCell="I3" activePane="bottomRight" state="frozen"/>
      <selection pane="topRight" activeCell="F1" sqref="F1"/>
      <selection pane="bottomLeft" activeCell="A3" sqref="A3"/>
      <selection pane="bottomRight" activeCell="C9" sqref="C9"/>
    </sheetView>
  </sheetViews>
  <sheetFormatPr baseColWidth="10" defaultColWidth="11.42578125" defaultRowHeight="15" outlineLevelCol="1" x14ac:dyDescent="0.25"/>
  <cols>
    <col min="1" max="1" width="12" style="378" bestFit="1" customWidth="1"/>
    <col min="2" max="2" width="13.28515625" style="378" bestFit="1" customWidth="1"/>
    <col min="3" max="3" width="42.42578125" style="379" customWidth="1"/>
    <col min="4" max="4" width="4.5703125" style="363" customWidth="1"/>
    <col min="5" max="5" width="5.7109375" style="11" customWidth="1"/>
    <col min="6" max="6" width="4.85546875" style="11" customWidth="1"/>
    <col min="7" max="7" width="4.28515625" style="11" customWidth="1"/>
    <col min="8" max="8" width="2" style="12" customWidth="1"/>
    <col min="9" max="12" width="5.7109375" customWidth="1"/>
    <col min="13" max="20" width="5.7109375" style="204" customWidth="1"/>
    <col min="21" max="21" width="15.28515625" style="11" bestFit="1" customWidth="1"/>
    <col min="22" max="22" width="10.42578125" style="191" customWidth="1"/>
    <col min="23" max="23" width="16.28515625" style="190" hidden="1" customWidth="1" outlineLevel="1"/>
    <col min="24" max="24" width="13.42578125" style="190" hidden="1" customWidth="1" outlineLevel="1"/>
    <col min="25" max="25" width="14.140625" style="190" hidden="1" customWidth="1" outlineLevel="1"/>
    <col min="26" max="26" width="10.7109375" style="185" bestFit="1" customWidth="1" collapsed="1"/>
    <col min="27" max="27" width="15.42578125" style="185" bestFit="1" customWidth="1"/>
    <col min="28" max="28" width="12.28515625" style="185" bestFit="1" customWidth="1"/>
    <col min="29" max="29" width="7.5703125" style="185" bestFit="1" customWidth="1"/>
    <col min="30" max="16384" width="11.42578125" style="13"/>
  </cols>
  <sheetData>
    <row r="1" spans="1:29" ht="11.25" x14ac:dyDescent="0.25">
      <c r="A1" s="364"/>
      <c r="B1" s="364"/>
      <c r="C1" s="364"/>
      <c r="D1" s="353"/>
      <c r="E1" s="561">
        <f>SUM(E3:E1048576)</f>
        <v>0</v>
      </c>
      <c r="F1" s="17">
        <f>SUM(F3:F1048576)</f>
        <v>0</v>
      </c>
      <c r="G1" s="17">
        <f>SUM(G3:G1048576)</f>
        <v>0</v>
      </c>
      <c r="H1" s="17"/>
      <c r="I1" s="17">
        <f>SUM(I3:I221)</f>
        <v>0</v>
      </c>
      <c r="J1" s="17">
        <f t="shared" ref="J1:T1" si="0">SUM(J3:J221)</f>
        <v>0</v>
      </c>
      <c r="K1" s="17">
        <f t="shared" si="0"/>
        <v>0</v>
      </c>
      <c r="L1" s="17">
        <f t="shared" si="0"/>
        <v>0</v>
      </c>
      <c r="M1" s="17">
        <f t="shared" si="0"/>
        <v>0</v>
      </c>
      <c r="N1" s="17">
        <f t="shared" si="0"/>
        <v>0</v>
      </c>
      <c r="O1" s="17">
        <f t="shared" si="0"/>
        <v>0</v>
      </c>
      <c r="P1" s="17">
        <f t="shared" si="0"/>
        <v>0</v>
      </c>
      <c r="Q1" s="17">
        <f t="shared" si="0"/>
        <v>0</v>
      </c>
      <c r="R1" s="17">
        <f t="shared" si="0"/>
        <v>0</v>
      </c>
      <c r="S1" s="17">
        <f t="shared" si="0"/>
        <v>0</v>
      </c>
      <c r="T1" s="17">
        <f t="shared" si="0"/>
        <v>0</v>
      </c>
      <c r="U1" s="756" t="s">
        <v>98</v>
      </c>
      <c r="V1" s="757"/>
      <c r="W1" s="757"/>
      <c r="X1" s="757"/>
      <c r="Y1" s="757"/>
      <c r="Z1" s="13"/>
      <c r="AA1" s="13"/>
      <c r="AB1" s="13"/>
      <c r="AC1" s="13"/>
    </row>
    <row r="2" spans="1:29" s="182" customFormat="1" ht="11.25" x14ac:dyDescent="0.25">
      <c r="A2" s="365" t="s">
        <v>99</v>
      </c>
      <c r="B2" s="365" t="s">
        <v>100</v>
      </c>
      <c r="C2" s="365" t="s">
        <v>101</v>
      </c>
      <c r="D2" s="354"/>
      <c r="E2" s="178" t="s">
        <v>102</v>
      </c>
      <c r="F2" s="178" t="s">
        <v>103</v>
      </c>
      <c r="G2" s="178" t="s">
        <v>104</v>
      </c>
      <c r="H2" s="588"/>
      <c r="I2" s="572">
        <v>45901</v>
      </c>
      <c r="J2" s="572">
        <v>45870</v>
      </c>
      <c r="K2" s="572">
        <v>45839</v>
      </c>
      <c r="L2" s="572">
        <v>45809</v>
      </c>
      <c r="M2" s="15">
        <v>45778</v>
      </c>
      <c r="N2" s="15">
        <v>45748</v>
      </c>
      <c r="O2" s="15">
        <v>45717</v>
      </c>
      <c r="P2" s="15">
        <v>45689</v>
      </c>
      <c r="Q2" s="15">
        <v>45658</v>
      </c>
      <c r="R2" s="15">
        <v>45627</v>
      </c>
      <c r="S2" s="15">
        <v>45597</v>
      </c>
      <c r="T2" s="15">
        <v>45566</v>
      </c>
      <c r="U2" s="178" t="s">
        <v>105</v>
      </c>
      <c r="V2" s="179" t="s">
        <v>106</v>
      </c>
      <c r="W2" s="180" t="s">
        <v>107</v>
      </c>
      <c r="X2" s="180" t="s">
        <v>108</v>
      </c>
      <c r="Y2" s="180" t="s">
        <v>109</v>
      </c>
      <c r="Z2" s="181" t="s">
        <v>110</v>
      </c>
      <c r="AA2" s="181" t="s">
        <v>111</v>
      </c>
      <c r="AB2" s="181" t="s">
        <v>112</v>
      </c>
      <c r="AC2" s="181" t="s">
        <v>52</v>
      </c>
    </row>
    <row r="3" spans="1:29" s="185" customFormat="1" x14ac:dyDescent="0.25">
      <c r="A3" s="366" t="s">
        <v>1178</v>
      </c>
      <c r="B3" s="366" t="s">
        <v>37</v>
      </c>
      <c r="C3" s="367" t="s">
        <v>157</v>
      </c>
      <c r="D3" s="355"/>
      <c r="E3" s="203"/>
      <c r="F3" s="187"/>
      <c r="G3" s="187"/>
      <c r="H3" s="588"/>
      <c r="I3" s="569"/>
      <c r="J3" s="569"/>
      <c r="K3" s="569"/>
      <c r="L3" s="569"/>
      <c r="M3" s="189"/>
      <c r="N3" s="189"/>
      <c r="O3" s="189"/>
      <c r="P3" s="189"/>
      <c r="Q3" s="189"/>
      <c r="R3" s="189"/>
      <c r="S3" s="189"/>
      <c r="T3" s="189"/>
      <c r="U3" s="14">
        <f>SUM(I3:T3)</f>
        <v>0</v>
      </c>
      <c r="V3" s="196">
        <f>IF(X3=0,0,(U3/52*(W3+X3+Y3))-E3-F3+G3)</f>
        <v>0</v>
      </c>
      <c r="W3" s="184"/>
      <c r="X3" s="184"/>
      <c r="Y3" s="184"/>
      <c r="Z3" s="189"/>
      <c r="AA3" s="189"/>
      <c r="AB3" s="189"/>
      <c r="AC3" s="189"/>
    </row>
    <row r="4" spans="1:29" s="185" customFormat="1" ht="18" x14ac:dyDescent="0.25">
      <c r="A4" s="368" t="s">
        <v>1177</v>
      </c>
      <c r="B4" s="369" t="s">
        <v>41</v>
      </c>
      <c r="C4" s="370" t="s">
        <v>141</v>
      </c>
      <c r="D4" s="357"/>
      <c r="E4" s="168"/>
      <c r="F4" s="168"/>
      <c r="G4" s="168"/>
      <c r="H4" s="588"/>
      <c r="I4" s="569"/>
      <c r="J4" s="569"/>
      <c r="K4" s="569"/>
      <c r="L4" s="569"/>
      <c r="M4" s="189"/>
      <c r="N4" s="189"/>
      <c r="O4" s="189"/>
      <c r="P4" s="189"/>
      <c r="Q4" s="189"/>
      <c r="R4" s="189"/>
      <c r="S4" s="189"/>
      <c r="T4" s="189"/>
      <c r="U4" s="14">
        <f t="shared" ref="U4:U67" si="1">SUM(I4:T4)</f>
        <v>0</v>
      </c>
      <c r="V4" s="196">
        <f t="shared" ref="V4:V67" si="2">IF(X4=0,0,(U4/52*(W4+X4+Y4))-E4-F4+G4)</f>
        <v>0</v>
      </c>
      <c r="W4" s="188"/>
      <c r="X4" s="188"/>
      <c r="Y4" s="188"/>
      <c r="Z4" s="189"/>
      <c r="AA4" s="189"/>
      <c r="AB4" s="189"/>
      <c r="AC4" s="189"/>
    </row>
    <row r="5" spans="1:29" s="185" customFormat="1" ht="18" x14ac:dyDescent="0.25">
      <c r="A5" s="368" t="s">
        <v>1177</v>
      </c>
      <c r="B5" s="369" t="s">
        <v>41</v>
      </c>
      <c r="C5" s="370" t="s">
        <v>162</v>
      </c>
      <c r="D5" s="357"/>
      <c r="E5" s="168"/>
      <c r="F5" s="168"/>
      <c r="G5" s="168"/>
      <c r="H5" s="588"/>
      <c r="I5" s="569"/>
      <c r="J5" s="569"/>
      <c r="K5" s="569"/>
      <c r="L5" s="569"/>
      <c r="M5" s="189"/>
      <c r="N5" s="189"/>
      <c r="O5" s="189"/>
      <c r="P5" s="189"/>
      <c r="Q5" s="189"/>
      <c r="R5" s="189"/>
      <c r="S5" s="189"/>
      <c r="T5" s="189"/>
      <c r="U5" s="14">
        <f t="shared" si="1"/>
        <v>0</v>
      </c>
      <c r="V5" s="196">
        <f t="shared" si="2"/>
        <v>0</v>
      </c>
      <c r="W5" s="188"/>
      <c r="X5" s="188"/>
      <c r="Y5" s="188"/>
      <c r="Z5" s="189"/>
      <c r="AA5" s="189"/>
      <c r="AB5" s="189"/>
      <c r="AC5" s="189"/>
    </row>
    <row r="6" spans="1:29" s="185" customFormat="1" x14ac:dyDescent="0.25">
      <c r="A6" s="366" t="s">
        <v>70</v>
      </c>
      <c r="B6" s="366" t="s">
        <v>120</v>
      </c>
      <c r="C6" s="371" t="s">
        <v>71</v>
      </c>
      <c r="D6" s="358"/>
      <c r="E6" s="169"/>
      <c r="F6" s="183"/>
      <c r="G6" s="183"/>
      <c r="H6" s="588"/>
      <c r="I6" s="569"/>
      <c r="J6" s="569"/>
      <c r="K6" s="569"/>
      <c r="L6" s="569"/>
      <c r="M6" s="189"/>
      <c r="N6" s="189"/>
      <c r="O6" s="189"/>
      <c r="P6" s="189"/>
      <c r="Q6" s="189"/>
      <c r="R6" s="189"/>
      <c r="S6" s="189"/>
      <c r="T6" s="189"/>
      <c r="U6" s="14">
        <f t="shared" si="1"/>
        <v>0</v>
      </c>
      <c r="V6" s="196">
        <f t="shared" si="2"/>
        <v>0</v>
      </c>
      <c r="W6" s="184">
        <v>14</v>
      </c>
      <c r="X6" s="184">
        <v>8</v>
      </c>
      <c r="Y6" s="184">
        <v>6</v>
      </c>
      <c r="Z6" s="14"/>
      <c r="AA6" s="189"/>
      <c r="AB6" s="712"/>
      <c r="AC6" s="712"/>
    </row>
    <row r="7" spans="1:29" s="185" customFormat="1" x14ac:dyDescent="0.25">
      <c r="A7" s="366" t="s">
        <v>70</v>
      </c>
      <c r="B7" s="366" t="s">
        <v>163</v>
      </c>
      <c r="C7" s="371" t="s">
        <v>76</v>
      </c>
      <c r="D7" s="358"/>
      <c r="E7" s="169"/>
      <c r="F7" s="183"/>
      <c r="G7" s="183"/>
      <c r="H7" s="588"/>
      <c r="I7" s="569"/>
      <c r="J7" s="569"/>
      <c r="K7" s="569"/>
      <c r="L7" s="569"/>
      <c r="M7" s="189"/>
      <c r="N7" s="189"/>
      <c r="O7" s="189"/>
      <c r="P7" s="189"/>
      <c r="Q7" s="189"/>
      <c r="R7" s="189"/>
      <c r="S7" s="189"/>
      <c r="T7" s="189"/>
      <c r="U7" s="14">
        <f t="shared" si="1"/>
        <v>0</v>
      </c>
      <c r="V7" s="196">
        <f t="shared" si="2"/>
        <v>0</v>
      </c>
      <c r="W7" s="184">
        <v>17</v>
      </c>
      <c r="X7" s="184">
        <v>8</v>
      </c>
      <c r="Y7" s="184">
        <v>4</v>
      </c>
      <c r="Z7" s="14"/>
      <c r="AA7" s="189"/>
      <c r="AB7" s="712"/>
      <c r="AC7" s="712"/>
    </row>
    <row r="8" spans="1:29" s="185" customFormat="1" x14ac:dyDescent="0.25">
      <c r="A8" s="366" t="s">
        <v>70</v>
      </c>
      <c r="B8" s="366" t="s">
        <v>164</v>
      </c>
      <c r="C8" s="371" t="s">
        <v>165</v>
      </c>
      <c r="D8" s="358"/>
      <c r="E8" s="169"/>
      <c r="F8" s="183"/>
      <c r="G8" s="183"/>
      <c r="H8" s="588"/>
      <c r="I8" s="569"/>
      <c r="J8" s="569"/>
      <c r="K8" s="569"/>
      <c r="L8" s="569"/>
      <c r="M8" s="189"/>
      <c r="N8" s="189"/>
      <c r="O8" s="189"/>
      <c r="P8" s="189"/>
      <c r="Q8" s="189"/>
      <c r="R8" s="189"/>
      <c r="S8" s="189"/>
      <c r="T8" s="189"/>
      <c r="U8" s="14">
        <f t="shared" si="1"/>
        <v>0</v>
      </c>
      <c r="V8" s="196">
        <f t="shared" si="2"/>
        <v>0</v>
      </c>
      <c r="W8" s="184">
        <v>24</v>
      </c>
      <c r="X8" s="184">
        <v>8</v>
      </c>
      <c r="Y8" s="184">
        <v>4</v>
      </c>
      <c r="Z8" s="14"/>
      <c r="AA8" s="189"/>
      <c r="AB8" s="712"/>
      <c r="AC8" s="712"/>
    </row>
    <row r="9" spans="1:29" s="185" customFormat="1" x14ac:dyDescent="0.25">
      <c r="A9" s="366" t="s">
        <v>70</v>
      </c>
      <c r="B9" s="366" t="s">
        <v>120</v>
      </c>
      <c r="C9" s="371" t="s">
        <v>166</v>
      </c>
      <c r="D9" s="358"/>
      <c r="E9" s="169"/>
      <c r="F9" s="183"/>
      <c r="G9" s="183"/>
      <c r="H9" s="588"/>
      <c r="I9" s="569"/>
      <c r="J9" s="569"/>
      <c r="K9" s="569"/>
      <c r="L9" s="569"/>
      <c r="M9" s="189"/>
      <c r="N9" s="189"/>
      <c r="O9" s="189"/>
      <c r="P9" s="189"/>
      <c r="Q9" s="189"/>
      <c r="R9" s="189"/>
      <c r="S9" s="189"/>
      <c r="T9" s="189"/>
      <c r="U9" s="14">
        <f t="shared" si="1"/>
        <v>0</v>
      </c>
      <c r="V9" s="196">
        <f t="shared" si="2"/>
        <v>0</v>
      </c>
      <c r="W9" s="184">
        <v>22</v>
      </c>
      <c r="X9" s="184">
        <v>8</v>
      </c>
      <c r="Y9" s="184">
        <v>4</v>
      </c>
      <c r="Z9" s="14"/>
      <c r="AA9" s="189"/>
      <c r="AB9" s="712"/>
      <c r="AC9" s="712"/>
    </row>
    <row r="10" spans="1:29" s="185" customFormat="1" x14ac:dyDescent="0.25">
      <c r="A10" s="366" t="s">
        <v>70</v>
      </c>
      <c r="B10" s="366" t="s">
        <v>167</v>
      </c>
      <c r="C10" s="371" t="s">
        <v>168</v>
      </c>
      <c r="D10" s="358"/>
      <c r="E10" s="169"/>
      <c r="F10" s="183"/>
      <c r="G10" s="183"/>
      <c r="H10" s="588"/>
      <c r="I10" s="569"/>
      <c r="J10" s="569"/>
      <c r="K10" s="569"/>
      <c r="L10" s="569"/>
      <c r="M10" s="189"/>
      <c r="N10" s="189"/>
      <c r="O10" s="189"/>
      <c r="P10" s="189"/>
      <c r="Q10" s="189"/>
      <c r="R10" s="189"/>
      <c r="S10" s="189"/>
      <c r="T10" s="189"/>
      <c r="U10" s="14">
        <f t="shared" si="1"/>
        <v>0</v>
      </c>
      <c r="V10" s="196">
        <f t="shared" si="2"/>
        <v>0</v>
      </c>
      <c r="W10" s="184">
        <v>20</v>
      </c>
      <c r="X10" s="184">
        <v>8</v>
      </c>
      <c r="Y10" s="184">
        <v>4</v>
      </c>
      <c r="Z10" s="14"/>
      <c r="AA10" s="189"/>
      <c r="AB10" s="712"/>
      <c r="AC10" s="712"/>
    </row>
    <row r="11" spans="1:29" x14ac:dyDescent="0.25">
      <c r="A11" s="366" t="s">
        <v>70</v>
      </c>
      <c r="B11" s="366" t="s">
        <v>164</v>
      </c>
      <c r="C11" s="371" t="s">
        <v>73</v>
      </c>
      <c r="D11" s="358"/>
      <c r="E11" s="169"/>
      <c r="F11" s="183"/>
      <c r="G11" s="183"/>
      <c r="H11" s="588"/>
      <c r="I11" s="569"/>
      <c r="J11" s="569"/>
      <c r="K11" s="569"/>
      <c r="L11" s="569"/>
      <c r="M11" s="189"/>
      <c r="N11" s="189"/>
      <c r="O11" s="189"/>
      <c r="P11" s="189"/>
      <c r="Q11" s="189"/>
      <c r="R11" s="189"/>
      <c r="S11" s="189"/>
      <c r="T11" s="189"/>
      <c r="U11" s="14">
        <f t="shared" si="1"/>
        <v>0</v>
      </c>
      <c r="V11" s="196">
        <f t="shared" si="2"/>
        <v>0</v>
      </c>
      <c r="W11" s="184">
        <v>22</v>
      </c>
      <c r="X11" s="184">
        <v>8</v>
      </c>
      <c r="Y11" s="184">
        <v>4</v>
      </c>
      <c r="Z11" s="14"/>
      <c r="AA11" s="189"/>
      <c r="AB11" s="712"/>
      <c r="AC11" s="712"/>
    </row>
    <row r="12" spans="1:29" ht="11.25" x14ac:dyDescent="0.25">
      <c r="A12" s="366" t="s">
        <v>28</v>
      </c>
      <c r="B12" s="366" t="s">
        <v>126</v>
      </c>
      <c r="C12" s="372" t="s">
        <v>127</v>
      </c>
      <c r="D12" s="360"/>
      <c r="E12" s="169"/>
      <c r="F12" s="183"/>
      <c r="G12" s="183"/>
      <c r="H12" s="588"/>
      <c r="I12" s="189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89"/>
      <c r="U12" s="14">
        <f t="shared" si="1"/>
        <v>0</v>
      </c>
      <c r="V12" s="196">
        <f t="shared" si="2"/>
        <v>0</v>
      </c>
      <c r="W12" s="184">
        <v>40</v>
      </c>
      <c r="X12" s="184">
        <v>6</v>
      </c>
      <c r="Y12" s="184">
        <v>4</v>
      </c>
      <c r="Z12" s="184"/>
      <c r="AA12" s="189"/>
      <c r="AB12" s="712"/>
      <c r="AC12" s="712"/>
    </row>
    <row r="13" spans="1:29" ht="11.25" x14ac:dyDescent="0.25">
      <c r="A13" s="377" t="s">
        <v>28</v>
      </c>
      <c r="B13" s="377" t="s">
        <v>113</v>
      </c>
      <c r="C13" s="371" t="s">
        <v>114</v>
      </c>
      <c r="D13" s="356"/>
      <c r="E13" s="168"/>
      <c r="F13" s="186"/>
      <c r="G13" s="168"/>
      <c r="H13" s="588"/>
      <c r="I13" s="189"/>
      <c r="J13" s="189"/>
      <c r="K13" s="189"/>
      <c r="L13" s="189"/>
      <c r="M13" s="189"/>
      <c r="N13" s="189"/>
      <c r="O13" s="189"/>
      <c r="P13" s="189"/>
      <c r="Q13" s="189"/>
      <c r="R13" s="189"/>
      <c r="S13" s="189"/>
      <c r="T13" s="189"/>
      <c r="U13" s="14">
        <f t="shared" si="1"/>
        <v>0</v>
      </c>
      <c r="V13" s="196">
        <f t="shared" si="2"/>
        <v>0</v>
      </c>
      <c r="W13" s="184">
        <v>40</v>
      </c>
      <c r="X13" s="184">
        <v>6</v>
      </c>
      <c r="Y13" s="184">
        <v>4</v>
      </c>
      <c r="Z13" s="184"/>
      <c r="AA13" s="189"/>
      <c r="AB13" s="712"/>
      <c r="AC13" s="712"/>
    </row>
    <row r="14" spans="1:29" x14ac:dyDescent="0.25">
      <c r="A14" s="366" t="s">
        <v>28</v>
      </c>
      <c r="B14" s="366" t="s">
        <v>182</v>
      </c>
      <c r="C14" s="375" t="s">
        <v>355</v>
      </c>
      <c r="D14" s="360"/>
      <c r="E14" s="169"/>
      <c r="F14" s="183"/>
      <c r="G14" s="183"/>
      <c r="H14" s="588"/>
      <c r="I14" s="569"/>
      <c r="J14" s="569"/>
      <c r="K14" s="569"/>
      <c r="L14" s="569"/>
      <c r="M14" s="189"/>
      <c r="N14" s="189"/>
      <c r="O14" s="189"/>
      <c r="P14" s="189"/>
      <c r="Q14" s="189"/>
      <c r="R14" s="189"/>
      <c r="S14" s="189"/>
      <c r="T14" s="189"/>
      <c r="U14" s="14">
        <f t="shared" si="1"/>
        <v>0</v>
      </c>
      <c r="V14" s="196">
        <f t="shared" si="2"/>
        <v>0</v>
      </c>
      <c r="W14" s="184">
        <v>45</v>
      </c>
      <c r="X14" s="184">
        <v>8</v>
      </c>
      <c r="Y14" s="184">
        <v>4</v>
      </c>
      <c r="Z14" s="184"/>
      <c r="AA14" s="189"/>
      <c r="AB14" s="189"/>
      <c r="AC14" s="189"/>
    </row>
    <row r="15" spans="1:29" x14ac:dyDescent="0.25">
      <c r="A15" s="366" t="s">
        <v>28</v>
      </c>
      <c r="B15" s="366" t="s">
        <v>116</v>
      </c>
      <c r="C15" s="371" t="s">
        <v>357</v>
      </c>
      <c r="D15" s="358"/>
      <c r="E15" s="169"/>
      <c r="F15" s="183"/>
      <c r="G15" s="169"/>
      <c r="H15" s="588"/>
      <c r="I15" s="569"/>
      <c r="J15" s="569"/>
      <c r="K15" s="569"/>
      <c r="L15" s="569"/>
      <c r="M15" s="189"/>
      <c r="N15" s="189"/>
      <c r="O15" s="189"/>
      <c r="P15" s="189"/>
      <c r="Q15" s="189"/>
      <c r="R15" s="189"/>
      <c r="S15" s="189"/>
      <c r="T15" s="189"/>
      <c r="U15" s="14">
        <f t="shared" si="1"/>
        <v>0</v>
      </c>
      <c r="V15" s="196">
        <f t="shared" si="2"/>
        <v>0</v>
      </c>
      <c r="W15" s="184">
        <v>45</v>
      </c>
      <c r="X15" s="184">
        <v>8</v>
      </c>
      <c r="Y15" s="184">
        <v>4</v>
      </c>
      <c r="Z15" s="14"/>
      <c r="AA15" s="189"/>
      <c r="AB15" s="189"/>
      <c r="AC15" s="189"/>
    </row>
    <row r="16" spans="1:29" x14ac:dyDescent="0.25">
      <c r="A16" s="377" t="s">
        <v>28</v>
      </c>
      <c r="B16" s="377" t="s">
        <v>122</v>
      </c>
      <c r="C16" s="373" t="s">
        <v>123</v>
      </c>
      <c r="D16" s="360"/>
      <c r="E16" s="183"/>
      <c r="F16" s="183"/>
      <c r="G16" s="169"/>
      <c r="H16" s="588"/>
      <c r="I16" s="569"/>
      <c r="J16" s="569"/>
      <c r="K16" s="569"/>
      <c r="L16" s="569"/>
      <c r="M16" s="189"/>
      <c r="N16" s="189"/>
      <c r="O16" s="189"/>
      <c r="P16" s="189"/>
      <c r="Q16" s="189"/>
      <c r="R16" s="189"/>
      <c r="S16" s="189"/>
      <c r="T16" s="189"/>
      <c r="U16" s="14">
        <f t="shared" si="1"/>
        <v>0</v>
      </c>
      <c r="V16" s="196">
        <f t="shared" si="2"/>
        <v>0</v>
      </c>
      <c r="W16" s="184">
        <v>40</v>
      </c>
      <c r="X16" s="184">
        <v>6</v>
      </c>
      <c r="Y16" s="184">
        <v>4</v>
      </c>
      <c r="Z16" s="184"/>
      <c r="AA16" s="189"/>
      <c r="AB16" s="189"/>
      <c r="AC16" s="189"/>
    </row>
    <row r="17" spans="1:29" x14ac:dyDescent="0.25">
      <c r="A17" s="377" t="s">
        <v>28</v>
      </c>
      <c r="B17" s="377" t="s">
        <v>113</v>
      </c>
      <c r="C17" s="371" t="s">
        <v>115</v>
      </c>
      <c r="D17" s="361"/>
      <c r="E17" s="186"/>
      <c r="F17" s="186"/>
      <c r="G17" s="168"/>
      <c r="H17" s="588"/>
      <c r="I17" s="569"/>
      <c r="J17" s="569"/>
      <c r="K17" s="569"/>
      <c r="L17" s="569"/>
      <c r="M17" s="189"/>
      <c r="N17" s="189"/>
      <c r="O17" s="189"/>
      <c r="P17" s="189"/>
      <c r="Q17" s="189"/>
      <c r="R17" s="189"/>
      <c r="S17" s="189"/>
      <c r="T17" s="189"/>
      <c r="U17" s="14">
        <f t="shared" si="1"/>
        <v>0</v>
      </c>
      <c r="V17" s="196">
        <f t="shared" si="2"/>
        <v>0</v>
      </c>
      <c r="W17" s="184">
        <v>40</v>
      </c>
      <c r="X17" s="184">
        <v>6</v>
      </c>
      <c r="Y17" s="184">
        <v>4</v>
      </c>
      <c r="Z17" s="184"/>
      <c r="AA17" s="189"/>
      <c r="AB17" s="712"/>
      <c r="AC17" s="712"/>
    </row>
    <row r="18" spans="1:29" x14ac:dyDescent="0.25">
      <c r="A18" s="366" t="s">
        <v>28</v>
      </c>
      <c r="B18" s="366" t="s">
        <v>116</v>
      </c>
      <c r="C18" s="373" t="s">
        <v>356</v>
      </c>
      <c r="D18" s="360"/>
      <c r="E18" s="169"/>
      <c r="F18" s="183"/>
      <c r="G18" s="183"/>
      <c r="H18" s="588"/>
      <c r="I18" s="569"/>
      <c r="J18" s="569"/>
      <c r="K18" s="569"/>
      <c r="L18" s="569"/>
      <c r="M18" s="189"/>
      <c r="N18" s="189"/>
      <c r="O18" s="189"/>
      <c r="P18" s="189"/>
      <c r="Q18" s="189"/>
      <c r="R18" s="189"/>
      <c r="S18" s="189"/>
      <c r="T18" s="189"/>
      <c r="U18" s="14">
        <f t="shared" si="1"/>
        <v>0</v>
      </c>
      <c r="V18" s="196">
        <f t="shared" si="2"/>
        <v>0</v>
      </c>
      <c r="W18" s="184">
        <v>20</v>
      </c>
      <c r="X18" s="184">
        <v>8</v>
      </c>
      <c r="Y18" s="184">
        <v>4</v>
      </c>
      <c r="Z18" s="184"/>
      <c r="AA18" s="189"/>
      <c r="AB18" s="189"/>
      <c r="AC18" s="189"/>
    </row>
    <row r="19" spans="1:29" x14ac:dyDescent="0.25">
      <c r="A19" s="366" t="s">
        <v>28</v>
      </c>
      <c r="B19" s="368" t="s">
        <v>124</v>
      </c>
      <c r="C19" s="368" t="s">
        <v>125</v>
      </c>
      <c r="D19" s="355"/>
      <c r="E19" s="203"/>
      <c r="F19" s="187"/>
      <c r="G19" s="187"/>
      <c r="H19" s="588"/>
      <c r="I19" s="569"/>
      <c r="J19" s="569"/>
      <c r="K19" s="569"/>
      <c r="L19" s="569"/>
      <c r="M19" s="189"/>
      <c r="N19" s="189"/>
      <c r="O19" s="189"/>
      <c r="P19" s="189"/>
      <c r="Q19" s="189"/>
      <c r="R19" s="189"/>
      <c r="S19" s="189"/>
      <c r="T19" s="189"/>
      <c r="U19" s="14">
        <f t="shared" si="1"/>
        <v>0</v>
      </c>
      <c r="V19" s="196">
        <f t="shared" si="2"/>
        <v>0</v>
      </c>
      <c r="W19" s="184">
        <v>40</v>
      </c>
      <c r="X19" s="184">
        <v>6</v>
      </c>
      <c r="Y19" s="184">
        <v>4</v>
      </c>
      <c r="Z19" s="184"/>
      <c r="AA19" s="189"/>
      <c r="AB19" s="189"/>
      <c r="AC19" s="189"/>
    </row>
    <row r="20" spans="1:29" x14ac:dyDescent="0.25">
      <c r="A20" s="366" t="s">
        <v>28</v>
      </c>
      <c r="B20" s="366" t="s">
        <v>140</v>
      </c>
      <c r="C20" s="371">
        <v>430</v>
      </c>
      <c r="D20" s="358"/>
      <c r="E20" s="169"/>
      <c r="F20" s="183"/>
      <c r="G20" s="183"/>
      <c r="H20" s="588"/>
      <c r="I20" s="569"/>
      <c r="J20" s="569"/>
      <c r="K20" s="569"/>
      <c r="L20" s="569"/>
      <c r="M20" s="189"/>
      <c r="N20" s="189"/>
      <c r="O20" s="189"/>
      <c r="P20" s="189"/>
      <c r="Q20" s="189"/>
      <c r="R20" s="189"/>
      <c r="S20" s="189"/>
      <c r="T20" s="189"/>
      <c r="U20" s="14">
        <f t="shared" si="1"/>
        <v>0</v>
      </c>
      <c r="V20" s="196">
        <f t="shared" si="2"/>
        <v>0</v>
      </c>
      <c r="W20" s="184">
        <v>20</v>
      </c>
      <c r="X20" s="184">
        <v>8</v>
      </c>
      <c r="Y20" s="184">
        <v>4</v>
      </c>
      <c r="Z20" s="189"/>
      <c r="AA20" s="189"/>
      <c r="AB20" s="189"/>
      <c r="AC20" s="189"/>
    </row>
    <row r="21" spans="1:29" ht="11.25" x14ac:dyDescent="0.25">
      <c r="A21" s="368" t="s">
        <v>28</v>
      </c>
      <c r="B21" s="368" t="s">
        <v>227</v>
      </c>
      <c r="C21" s="368" t="s">
        <v>229</v>
      </c>
      <c r="D21" s="356"/>
      <c r="E21" s="168"/>
      <c r="F21" s="168"/>
      <c r="G21" s="168"/>
      <c r="H21" s="588"/>
      <c r="I21" s="189"/>
      <c r="J21" s="189"/>
      <c r="K21" s="189"/>
      <c r="L21" s="189"/>
      <c r="M21" s="189"/>
      <c r="N21" s="189"/>
      <c r="O21" s="189"/>
      <c r="P21" s="189"/>
      <c r="Q21" s="189"/>
      <c r="R21" s="189"/>
      <c r="S21" s="189"/>
      <c r="T21" s="189"/>
      <c r="U21" s="14">
        <f t="shared" si="1"/>
        <v>0</v>
      </c>
      <c r="V21" s="196">
        <f t="shared" si="2"/>
        <v>0</v>
      </c>
      <c r="W21" s="188"/>
      <c r="X21" s="188"/>
      <c r="Y21" s="188"/>
      <c r="Z21" s="189"/>
      <c r="AA21" s="189"/>
      <c r="AB21" s="189"/>
      <c r="AC21" s="189"/>
    </row>
    <row r="22" spans="1:29" x14ac:dyDescent="0.25">
      <c r="A22" s="368" t="s">
        <v>28</v>
      </c>
      <c r="B22" s="368" t="s">
        <v>171</v>
      </c>
      <c r="C22" s="368" t="s">
        <v>174</v>
      </c>
      <c r="D22" s="356"/>
      <c r="E22" s="168"/>
      <c r="F22" s="174"/>
      <c r="G22" s="174"/>
      <c r="H22" s="588"/>
      <c r="I22" s="569"/>
      <c r="J22" s="569"/>
      <c r="K22" s="569"/>
      <c r="L22" s="569"/>
      <c r="M22" s="189"/>
      <c r="N22" s="189"/>
      <c r="O22" s="189"/>
      <c r="P22" s="189"/>
      <c r="Q22" s="189"/>
      <c r="R22" s="189"/>
      <c r="S22" s="189"/>
      <c r="T22" s="189"/>
      <c r="U22" s="14">
        <f t="shared" si="1"/>
        <v>0</v>
      </c>
      <c r="V22" s="196">
        <f t="shared" si="2"/>
        <v>0</v>
      </c>
      <c r="W22" s="188"/>
      <c r="X22" s="188"/>
      <c r="Y22" s="188"/>
      <c r="Z22" s="189"/>
      <c r="AA22" s="189"/>
      <c r="AB22" s="189"/>
      <c r="AC22" s="189"/>
    </row>
    <row r="23" spans="1:29" x14ac:dyDescent="0.25">
      <c r="A23" s="368" t="s">
        <v>28</v>
      </c>
      <c r="B23" s="368" t="s">
        <v>171</v>
      </c>
      <c r="C23" s="368" t="s">
        <v>365</v>
      </c>
      <c r="D23" s="356"/>
      <c r="E23" s="168"/>
      <c r="F23" s="168"/>
      <c r="G23" s="174"/>
      <c r="H23" s="588"/>
      <c r="I23" s="569"/>
      <c r="J23" s="569"/>
      <c r="K23" s="569"/>
      <c r="L23" s="569"/>
      <c r="M23" s="189"/>
      <c r="N23" s="189"/>
      <c r="O23" s="189"/>
      <c r="P23" s="189"/>
      <c r="Q23" s="189"/>
      <c r="R23" s="189"/>
      <c r="S23" s="189"/>
      <c r="T23" s="189"/>
      <c r="U23" s="14">
        <f t="shared" si="1"/>
        <v>0</v>
      </c>
      <c r="V23" s="196">
        <f t="shared" si="2"/>
        <v>0</v>
      </c>
      <c r="W23" s="188">
        <v>16</v>
      </c>
      <c r="X23" s="188">
        <v>4</v>
      </c>
      <c r="Y23" s="188">
        <v>4</v>
      </c>
      <c r="Z23" s="14"/>
      <c r="AA23" s="189"/>
      <c r="AB23" s="712"/>
      <c r="AC23" s="712"/>
    </row>
    <row r="24" spans="1:29" x14ac:dyDescent="0.25">
      <c r="A24" s="366" t="s">
        <v>28</v>
      </c>
      <c r="B24" s="366" t="s">
        <v>116</v>
      </c>
      <c r="C24" s="374" t="s">
        <v>117</v>
      </c>
      <c r="D24" s="361"/>
      <c r="E24" s="168"/>
      <c r="F24" s="186"/>
      <c r="G24" s="186"/>
      <c r="H24" s="588"/>
      <c r="I24" s="569"/>
      <c r="J24" s="569"/>
      <c r="K24" s="569"/>
      <c r="L24" s="569"/>
      <c r="M24" s="189"/>
      <c r="N24" s="189"/>
      <c r="O24" s="189"/>
      <c r="P24" s="189"/>
      <c r="Q24" s="189"/>
      <c r="R24" s="189"/>
      <c r="S24" s="189"/>
      <c r="T24" s="189"/>
      <c r="U24" s="14">
        <f t="shared" si="1"/>
        <v>0</v>
      </c>
      <c r="V24" s="196">
        <f t="shared" si="2"/>
        <v>0</v>
      </c>
      <c r="W24" s="184">
        <v>20</v>
      </c>
      <c r="X24" s="184">
        <v>8</v>
      </c>
      <c r="Y24" s="184">
        <v>4</v>
      </c>
      <c r="Z24" s="14"/>
      <c r="AA24" s="189"/>
      <c r="AB24" s="189"/>
      <c r="AC24" s="189"/>
    </row>
    <row r="25" spans="1:29" x14ac:dyDescent="0.25">
      <c r="A25" s="372" t="s">
        <v>28</v>
      </c>
      <c r="B25" s="368" t="s">
        <v>158</v>
      </c>
      <c r="C25" s="368" t="s">
        <v>159</v>
      </c>
      <c r="D25" s="356"/>
      <c r="E25" s="168"/>
      <c r="F25" s="168"/>
      <c r="G25" s="168"/>
      <c r="H25" s="588"/>
      <c r="I25" s="569"/>
      <c r="J25" s="569"/>
      <c r="K25" s="569"/>
      <c r="L25" s="569"/>
      <c r="M25" s="189"/>
      <c r="N25" s="189"/>
      <c r="O25" s="189"/>
      <c r="P25" s="189"/>
      <c r="Q25" s="189"/>
      <c r="R25" s="189"/>
      <c r="S25" s="189"/>
      <c r="T25" s="189"/>
      <c r="U25" s="14">
        <f t="shared" si="1"/>
        <v>0</v>
      </c>
      <c r="V25" s="196">
        <f t="shared" si="2"/>
        <v>0</v>
      </c>
      <c r="W25" s="188"/>
      <c r="X25" s="188"/>
      <c r="Y25" s="188"/>
      <c r="Z25" s="189"/>
      <c r="AA25" s="189"/>
      <c r="AB25" s="189"/>
      <c r="AC25" s="189"/>
    </row>
    <row r="26" spans="1:29" x14ac:dyDescent="0.25">
      <c r="A26" s="366" t="s">
        <v>28</v>
      </c>
      <c r="B26" s="366" t="s">
        <v>130</v>
      </c>
      <c r="C26" s="374">
        <v>20</v>
      </c>
      <c r="D26" s="361"/>
      <c r="E26" s="168"/>
      <c r="F26" s="186"/>
      <c r="G26" s="168"/>
      <c r="H26" s="588"/>
      <c r="I26" s="569"/>
      <c r="J26" s="569"/>
      <c r="K26" s="569"/>
      <c r="L26" s="569"/>
      <c r="M26" s="189"/>
      <c r="N26" s="189"/>
      <c r="O26" s="189"/>
      <c r="P26" s="189"/>
      <c r="Q26" s="189"/>
      <c r="R26" s="189"/>
      <c r="S26" s="189"/>
      <c r="T26" s="189"/>
      <c r="U26" s="14">
        <f t="shared" si="1"/>
        <v>0</v>
      </c>
      <c r="V26" s="196">
        <f t="shared" si="2"/>
        <v>0</v>
      </c>
      <c r="W26" s="184">
        <v>20</v>
      </c>
      <c r="X26" s="184">
        <v>8</v>
      </c>
      <c r="Y26" s="184">
        <v>4</v>
      </c>
      <c r="Z26" s="14"/>
      <c r="AA26" s="189"/>
      <c r="AB26" s="189"/>
      <c r="AC26" s="189"/>
    </row>
    <row r="27" spans="1:29" x14ac:dyDescent="0.25">
      <c r="A27" s="372" t="s">
        <v>28</v>
      </c>
      <c r="B27" s="368" t="s">
        <v>158</v>
      </c>
      <c r="C27" s="368" t="s">
        <v>96</v>
      </c>
      <c r="D27" s="356"/>
      <c r="E27" s="168"/>
      <c r="F27" s="168"/>
      <c r="G27" s="168"/>
      <c r="H27" s="588"/>
      <c r="I27" s="569"/>
      <c r="J27" s="569"/>
      <c r="K27" s="569"/>
      <c r="L27" s="569"/>
      <c r="M27" s="189"/>
      <c r="N27" s="189"/>
      <c r="O27" s="189"/>
      <c r="P27" s="189"/>
      <c r="Q27" s="189"/>
      <c r="R27" s="189"/>
      <c r="S27" s="189"/>
      <c r="T27" s="189"/>
      <c r="U27" s="14">
        <f t="shared" si="1"/>
        <v>0</v>
      </c>
      <c r="V27" s="196">
        <f t="shared" si="2"/>
        <v>0</v>
      </c>
      <c r="W27" s="188"/>
      <c r="X27" s="188"/>
      <c r="Y27" s="188"/>
      <c r="Z27" s="189"/>
      <c r="AA27" s="189"/>
      <c r="AB27" s="189"/>
      <c r="AC27" s="189"/>
    </row>
    <row r="28" spans="1:29" x14ac:dyDescent="0.25">
      <c r="A28" s="372" t="s">
        <v>28</v>
      </c>
      <c r="B28" s="368" t="s">
        <v>158</v>
      </c>
      <c r="C28" s="368" t="s">
        <v>169</v>
      </c>
      <c r="D28" s="356"/>
      <c r="E28" s="168"/>
      <c r="F28" s="168"/>
      <c r="G28" s="168"/>
      <c r="H28" s="588"/>
      <c r="I28" s="569"/>
      <c r="J28" s="569"/>
      <c r="K28" s="569"/>
      <c r="L28" s="569"/>
      <c r="M28" s="189"/>
      <c r="N28" s="189"/>
      <c r="O28" s="189"/>
      <c r="P28" s="189"/>
      <c r="Q28" s="189"/>
      <c r="R28" s="189"/>
      <c r="S28" s="189"/>
      <c r="T28" s="189"/>
      <c r="U28" s="14">
        <f t="shared" si="1"/>
        <v>0</v>
      </c>
      <c r="V28" s="196">
        <f t="shared" si="2"/>
        <v>0</v>
      </c>
      <c r="W28" s="188"/>
      <c r="X28" s="188"/>
      <c r="Y28" s="188"/>
      <c r="Z28" s="189"/>
      <c r="AA28" s="189"/>
      <c r="AB28" s="189"/>
      <c r="AC28" s="189"/>
    </row>
    <row r="29" spans="1:29" x14ac:dyDescent="0.25">
      <c r="A29" s="372" t="s">
        <v>28</v>
      </c>
      <c r="B29" s="368" t="s">
        <v>158</v>
      </c>
      <c r="C29" s="368" t="s">
        <v>170</v>
      </c>
      <c r="D29" s="356"/>
      <c r="E29" s="168"/>
      <c r="F29" s="168"/>
      <c r="G29" s="168"/>
      <c r="H29" s="588"/>
      <c r="I29" s="569"/>
      <c r="J29" s="569"/>
      <c r="K29" s="569"/>
      <c r="L29" s="569"/>
      <c r="M29" s="189"/>
      <c r="N29" s="189"/>
      <c r="O29" s="189"/>
      <c r="P29" s="189"/>
      <c r="Q29" s="189"/>
      <c r="R29" s="189"/>
      <c r="S29" s="189"/>
      <c r="T29" s="189"/>
      <c r="U29" s="14">
        <f t="shared" si="1"/>
        <v>0</v>
      </c>
      <c r="V29" s="196">
        <f t="shared" si="2"/>
        <v>0</v>
      </c>
      <c r="W29" s="188"/>
      <c r="X29" s="188"/>
      <c r="Y29" s="188"/>
      <c r="Z29" s="189"/>
      <c r="AA29" s="189"/>
      <c r="AB29" s="189"/>
      <c r="AC29" s="189"/>
    </row>
    <row r="30" spans="1:29" x14ac:dyDescent="0.25">
      <c r="A30" s="366" t="s">
        <v>28</v>
      </c>
      <c r="B30" s="366" t="s">
        <v>171</v>
      </c>
      <c r="C30" s="373" t="s">
        <v>172</v>
      </c>
      <c r="D30" s="360"/>
      <c r="E30" s="183"/>
      <c r="F30" s="183"/>
      <c r="G30" s="183"/>
      <c r="H30" s="588"/>
      <c r="I30" s="569"/>
      <c r="J30" s="569"/>
      <c r="K30" s="569"/>
      <c r="L30" s="569"/>
      <c r="M30" s="189"/>
      <c r="N30" s="189"/>
      <c r="O30" s="189"/>
      <c r="P30" s="189"/>
      <c r="Q30" s="189"/>
      <c r="R30" s="189"/>
      <c r="S30" s="189"/>
      <c r="T30" s="189"/>
      <c r="U30" s="14">
        <f t="shared" si="1"/>
        <v>0</v>
      </c>
      <c r="V30" s="196">
        <f t="shared" si="2"/>
        <v>0</v>
      </c>
      <c r="W30" s="184">
        <v>20</v>
      </c>
      <c r="X30" s="184">
        <v>8</v>
      </c>
      <c r="Y30" s="184">
        <v>4</v>
      </c>
      <c r="Z30" s="14"/>
      <c r="AA30" s="189"/>
      <c r="AB30" s="189"/>
      <c r="AC30" s="189"/>
    </row>
    <row r="31" spans="1:29" x14ac:dyDescent="0.25">
      <c r="A31" s="368" t="s">
        <v>28</v>
      </c>
      <c r="B31" s="368" t="s">
        <v>171</v>
      </c>
      <c r="C31" s="368" t="s">
        <v>173</v>
      </c>
      <c r="D31" s="356"/>
      <c r="E31" s="168"/>
      <c r="F31" s="174"/>
      <c r="G31" s="174"/>
      <c r="H31" s="588"/>
      <c r="I31" s="569"/>
      <c r="J31" s="569"/>
      <c r="K31" s="569"/>
      <c r="L31" s="569"/>
      <c r="M31" s="189"/>
      <c r="N31" s="189"/>
      <c r="O31" s="189"/>
      <c r="P31" s="189"/>
      <c r="Q31" s="189"/>
      <c r="R31" s="189"/>
      <c r="S31" s="189"/>
      <c r="T31" s="189"/>
      <c r="U31" s="14">
        <f t="shared" si="1"/>
        <v>0</v>
      </c>
      <c r="V31" s="196">
        <f t="shared" si="2"/>
        <v>0</v>
      </c>
      <c r="W31" s="188"/>
      <c r="X31" s="188"/>
      <c r="Y31" s="188"/>
      <c r="Z31" s="189"/>
      <c r="AA31" s="189"/>
      <c r="AB31" s="189"/>
      <c r="AC31" s="189"/>
    </row>
    <row r="32" spans="1:29" x14ac:dyDescent="0.25">
      <c r="A32" s="368" t="s">
        <v>28</v>
      </c>
      <c r="B32" s="368" t="s">
        <v>130</v>
      </c>
      <c r="C32" s="368" t="s">
        <v>175</v>
      </c>
      <c r="D32" s="356"/>
      <c r="E32" s="168"/>
      <c r="F32" s="174"/>
      <c r="G32" s="174"/>
      <c r="H32" s="588"/>
      <c r="I32" s="569"/>
      <c r="J32" s="569"/>
      <c r="K32" s="569"/>
      <c r="L32" s="569"/>
      <c r="M32" s="189"/>
      <c r="N32" s="189"/>
      <c r="O32" s="189"/>
      <c r="P32" s="189"/>
      <c r="Q32" s="189"/>
      <c r="R32" s="189"/>
      <c r="S32" s="189"/>
      <c r="T32" s="189"/>
      <c r="U32" s="14">
        <f t="shared" si="1"/>
        <v>0</v>
      </c>
      <c r="V32" s="196">
        <f t="shared" si="2"/>
        <v>0</v>
      </c>
      <c r="W32" s="188"/>
      <c r="X32" s="188"/>
      <c r="Y32" s="188"/>
      <c r="Z32" s="189"/>
      <c r="AA32" s="189"/>
      <c r="AB32" s="189"/>
      <c r="AC32" s="189"/>
    </row>
    <row r="33" spans="1:29" x14ac:dyDescent="0.25">
      <c r="A33" s="368" t="s">
        <v>28</v>
      </c>
      <c r="B33" s="368" t="s">
        <v>130</v>
      </c>
      <c r="C33" s="368" t="s">
        <v>176</v>
      </c>
      <c r="D33" s="356"/>
      <c r="E33" s="168"/>
      <c r="F33" s="174"/>
      <c r="G33" s="174"/>
      <c r="H33" s="588"/>
      <c r="I33" s="569"/>
      <c r="J33" s="569"/>
      <c r="K33" s="569"/>
      <c r="L33" s="569"/>
      <c r="M33" s="189"/>
      <c r="N33" s="189"/>
      <c r="O33" s="189"/>
      <c r="P33" s="189"/>
      <c r="Q33" s="189"/>
      <c r="R33" s="189"/>
      <c r="S33" s="189"/>
      <c r="T33" s="189"/>
      <c r="U33" s="14">
        <f t="shared" si="1"/>
        <v>0</v>
      </c>
      <c r="V33" s="196">
        <f t="shared" si="2"/>
        <v>0</v>
      </c>
      <c r="W33" s="188"/>
      <c r="X33" s="188"/>
      <c r="Y33" s="188"/>
      <c r="Z33" s="189"/>
      <c r="AA33" s="189"/>
      <c r="AB33" s="189"/>
      <c r="AC33" s="189"/>
    </row>
    <row r="34" spans="1:29" x14ac:dyDescent="0.25">
      <c r="A34" s="368" t="s">
        <v>28</v>
      </c>
      <c r="B34" s="368" t="s">
        <v>177</v>
      </c>
      <c r="C34" s="368" t="s">
        <v>178</v>
      </c>
      <c r="D34" s="356"/>
      <c r="E34" s="168"/>
      <c r="F34" s="174"/>
      <c r="G34" s="174"/>
      <c r="H34" s="588"/>
      <c r="I34" s="569"/>
      <c r="J34" s="569"/>
      <c r="K34" s="569"/>
      <c r="L34" s="569"/>
      <c r="M34" s="189"/>
      <c r="N34" s="189"/>
      <c r="O34" s="189"/>
      <c r="P34" s="189"/>
      <c r="Q34" s="189"/>
      <c r="R34" s="189"/>
      <c r="S34" s="189"/>
      <c r="T34" s="189"/>
      <c r="U34" s="14">
        <f t="shared" si="1"/>
        <v>0</v>
      </c>
      <c r="V34" s="196">
        <f t="shared" si="2"/>
        <v>0</v>
      </c>
      <c r="W34" s="188"/>
      <c r="X34" s="188"/>
      <c r="Y34" s="188"/>
      <c r="Z34" s="189"/>
      <c r="AA34" s="189"/>
      <c r="AB34" s="189"/>
      <c r="AC34" s="189"/>
    </row>
    <row r="35" spans="1:29" x14ac:dyDescent="0.25">
      <c r="A35" s="368" t="s">
        <v>28</v>
      </c>
      <c r="B35" s="368" t="s">
        <v>177</v>
      </c>
      <c r="C35" s="368" t="s">
        <v>179</v>
      </c>
      <c r="D35" s="356"/>
      <c r="E35" s="168"/>
      <c r="F35" s="174"/>
      <c r="G35" s="174"/>
      <c r="H35" s="588"/>
      <c r="I35" s="569"/>
      <c r="J35" s="569"/>
      <c r="K35" s="569"/>
      <c r="L35" s="569"/>
      <c r="M35" s="189"/>
      <c r="N35" s="189"/>
      <c r="O35" s="189"/>
      <c r="P35" s="189"/>
      <c r="Q35" s="189"/>
      <c r="R35" s="189"/>
      <c r="S35" s="189"/>
      <c r="T35" s="189"/>
      <c r="U35" s="14">
        <f t="shared" si="1"/>
        <v>0</v>
      </c>
      <c r="V35" s="196">
        <f t="shared" si="2"/>
        <v>0</v>
      </c>
      <c r="W35" s="188"/>
      <c r="X35" s="188"/>
      <c r="Y35" s="188"/>
      <c r="Z35" s="189"/>
      <c r="AA35" s="189"/>
      <c r="AB35" s="189"/>
      <c r="AC35" s="189"/>
    </row>
    <row r="36" spans="1:29" x14ac:dyDescent="0.25">
      <c r="A36" s="368" t="s">
        <v>28</v>
      </c>
      <c r="B36" s="368" t="s">
        <v>177</v>
      </c>
      <c r="C36" s="368" t="s">
        <v>180</v>
      </c>
      <c r="D36" s="356"/>
      <c r="E36" s="168"/>
      <c r="F36" s="174"/>
      <c r="G36" s="174"/>
      <c r="H36" s="588"/>
      <c r="I36" s="569"/>
      <c r="J36" s="569"/>
      <c r="K36" s="569"/>
      <c r="L36" s="569"/>
      <c r="M36" s="189"/>
      <c r="N36" s="189"/>
      <c r="O36" s="189"/>
      <c r="P36" s="189"/>
      <c r="Q36" s="189"/>
      <c r="R36" s="189"/>
      <c r="S36" s="189"/>
      <c r="T36" s="189"/>
      <c r="U36" s="14">
        <f t="shared" si="1"/>
        <v>0</v>
      </c>
      <c r="V36" s="196">
        <f t="shared" si="2"/>
        <v>0</v>
      </c>
      <c r="W36" s="188"/>
      <c r="X36" s="188"/>
      <c r="Y36" s="188"/>
      <c r="Z36" s="189"/>
      <c r="AA36" s="189"/>
      <c r="AB36" s="189"/>
      <c r="AC36" s="189"/>
    </row>
    <row r="37" spans="1:29" x14ac:dyDescent="0.25">
      <c r="A37" s="368" t="s">
        <v>28</v>
      </c>
      <c r="B37" s="368" t="s">
        <v>177</v>
      </c>
      <c r="C37" s="368" t="s">
        <v>181</v>
      </c>
      <c r="D37" s="356"/>
      <c r="E37" s="168"/>
      <c r="F37" s="174"/>
      <c r="G37" s="174"/>
      <c r="H37" s="588"/>
      <c r="I37" s="569"/>
      <c r="J37" s="569"/>
      <c r="K37" s="569"/>
      <c r="L37" s="569"/>
      <c r="M37" s="189"/>
      <c r="N37" s="189"/>
      <c r="O37" s="189"/>
      <c r="P37" s="189"/>
      <c r="Q37" s="189"/>
      <c r="R37" s="189"/>
      <c r="S37" s="189"/>
      <c r="T37" s="189"/>
      <c r="U37" s="14">
        <f t="shared" si="1"/>
        <v>0</v>
      </c>
      <c r="V37" s="196">
        <f t="shared" si="2"/>
        <v>0</v>
      </c>
      <c r="W37" s="188"/>
      <c r="X37" s="188"/>
      <c r="Y37" s="188"/>
      <c r="Z37" s="189"/>
      <c r="AA37" s="189"/>
      <c r="AB37" s="189"/>
      <c r="AC37" s="189"/>
    </row>
    <row r="38" spans="1:29" x14ac:dyDescent="0.25">
      <c r="A38" s="368" t="s">
        <v>28</v>
      </c>
      <c r="B38" s="371" t="s">
        <v>182</v>
      </c>
      <c r="C38" s="371" t="s">
        <v>183</v>
      </c>
      <c r="D38" s="358"/>
      <c r="E38" s="168"/>
      <c r="F38" s="168"/>
      <c r="G38" s="168"/>
      <c r="H38" s="588"/>
      <c r="I38" s="569"/>
      <c r="J38" s="569"/>
      <c r="K38" s="569"/>
      <c r="L38" s="569"/>
      <c r="M38" s="189"/>
      <c r="N38" s="189"/>
      <c r="O38" s="189"/>
      <c r="P38" s="189"/>
      <c r="Q38" s="189"/>
      <c r="R38" s="189"/>
      <c r="S38" s="189"/>
      <c r="T38" s="189"/>
      <c r="U38" s="14">
        <f t="shared" si="1"/>
        <v>0</v>
      </c>
      <c r="V38" s="196">
        <f t="shared" si="2"/>
        <v>0</v>
      </c>
      <c r="W38" s="188"/>
      <c r="X38" s="188"/>
      <c r="Y38" s="188"/>
      <c r="Z38" s="189"/>
      <c r="AA38" s="189"/>
      <c r="AB38" s="189"/>
      <c r="AC38" s="189"/>
    </row>
    <row r="39" spans="1:29" x14ac:dyDescent="0.25">
      <c r="A39" s="368" t="s">
        <v>28</v>
      </c>
      <c r="B39" s="368" t="s">
        <v>140</v>
      </c>
      <c r="C39" s="372" t="s">
        <v>184</v>
      </c>
      <c r="D39" s="359"/>
      <c r="E39" s="168"/>
      <c r="F39" s="168"/>
      <c r="G39" s="168"/>
      <c r="H39" s="588"/>
      <c r="I39" s="569"/>
      <c r="J39" s="569"/>
      <c r="K39" s="569"/>
      <c r="L39" s="569"/>
      <c r="M39" s="189"/>
      <c r="N39" s="189"/>
      <c r="O39" s="189"/>
      <c r="P39" s="189"/>
      <c r="Q39" s="189"/>
      <c r="R39" s="189"/>
      <c r="S39" s="189"/>
      <c r="T39" s="189"/>
      <c r="U39" s="14">
        <f t="shared" si="1"/>
        <v>0</v>
      </c>
      <c r="V39" s="196">
        <f t="shared" si="2"/>
        <v>0</v>
      </c>
      <c r="W39" s="188"/>
      <c r="X39" s="188"/>
      <c r="Y39" s="188"/>
      <c r="Z39" s="189"/>
      <c r="AA39" s="189"/>
      <c r="AB39" s="189"/>
      <c r="AC39" s="189"/>
    </row>
    <row r="40" spans="1:29" x14ac:dyDescent="0.25">
      <c r="A40" s="368" t="s">
        <v>28</v>
      </c>
      <c r="B40" s="368" t="s">
        <v>140</v>
      </c>
      <c r="C40" s="372" t="s">
        <v>185</v>
      </c>
      <c r="D40" s="359"/>
      <c r="E40" s="168"/>
      <c r="F40" s="168"/>
      <c r="G40" s="168"/>
      <c r="H40" s="588"/>
      <c r="I40" s="569"/>
      <c r="J40" s="569"/>
      <c r="K40" s="569"/>
      <c r="L40" s="569"/>
      <c r="M40" s="189"/>
      <c r="N40" s="189"/>
      <c r="O40" s="189"/>
      <c r="P40" s="189"/>
      <c r="Q40" s="189"/>
      <c r="R40" s="189"/>
      <c r="S40" s="189"/>
      <c r="T40" s="189"/>
      <c r="U40" s="14">
        <f t="shared" si="1"/>
        <v>0</v>
      </c>
      <c r="V40" s="196">
        <f t="shared" si="2"/>
        <v>0</v>
      </c>
      <c r="W40" s="188"/>
      <c r="X40" s="188"/>
      <c r="Y40" s="188"/>
      <c r="Z40" s="189"/>
      <c r="AA40" s="189"/>
      <c r="AB40" s="189"/>
      <c r="AC40" s="189"/>
    </row>
    <row r="41" spans="1:29" x14ac:dyDescent="0.25">
      <c r="A41" s="368" t="s">
        <v>28</v>
      </c>
      <c r="B41" s="368" t="s">
        <v>140</v>
      </c>
      <c r="C41" s="372" t="s">
        <v>186</v>
      </c>
      <c r="D41" s="359"/>
      <c r="E41" s="168"/>
      <c r="F41" s="168"/>
      <c r="G41" s="168"/>
      <c r="H41" s="588"/>
      <c r="I41" s="569"/>
      <c r="J41" s="569"/>
      <c r="K41" s="569"/>
      <c r="L41" s="569"/>
      <c r="M41" s="189"/>
      <c r="N41" s="189"/>
      <c r="O41" s="189"/>
      <c r="P41" s="189"/>
      <c r="Q41" s="189"/>
      <c r="R41" s="189"/>
      <c r="S41" s="189"/>
      <c r="T41" s="189"/>
      <c r="U41" s="14">
        <f t="shared" si="1"/>
        <v>0</v>
      </c>
      <c r="V41" s="196">
        <f t="shared" si="2"/>
        <v>0</v>
      </c>
      <c r="W41" s="188"/>
      <c r="X41" s="188"/>
      <c r="Y41" s="188"/>
      <c r="Z41" s="189"/>
      <c r="AA41" s="189"/>
      <c r="AB41" s="189"/>
      <c r="AC41" s="189"/>
    </row>
    <row r="42" spans="1:29" x14ac:dyDescent="0.25">
      <c r="A42" s="368" t="s">
        <v>28</v>
      </c>
      <c r="B42" s="368" t="s">
        <v>140</v>
      </c>
      <c r="C42" s="372" t="s">
        <v>187</v>
      </c>
      <c r="D42" s="359"/>
      <c r="E42" s="168"/>
      <c r="F42" s="168"/>
      <c r="G42" s="168"/>
      <c r="H42" s="588"/>
      <c r="I42" s="569"/>
      <c r="J42" s="569"/>
      <c r="K42" s="569"/>
      <c r="L42" s="569"/>
      <c r="M42" s="189"/>
      <c r="N42" s="189"/>
      <c r="O42" s="189"/>
      <c r="P42" s="189"/>
      <c r="Q42" s="189"/>
      <c r="R42" s="189"/>
      <c r="S42" s="189"/>
      <c r="T42" s="189"/>
      <c r="U42" s="14">
        <f t="shared" si="1"/>
        <v>0</v>
      </c>
      <c r="V42" s="196">
        <f t="shared" si="2"/>
        <v>0</v>
      </c>
      <c r="W42" s="188"/>
      <c r="X42" s="188"/>
      <c r="Y42" s="188"/>
      <c r="Z42" s="189"/>
      <c r="AA42" s="189"/>
      <c r="AB42" s="189"/>
      <c r="AC42" s="189"/>
    </row>
    <row r="43" spans="1:29" x14ac:dyDescent="0.25">
      <c r="A43" s="368" t="s">
        <v>28</v>
      </c>
      <c r="B43" s="372" t="s">
        <v>140</v>
      </c>
      <c r="C43" s="372" t="s">
        <v>188</v>
      </c>
      <c r="D43" s="359"/>
      <c r="E43" s="168"/>
      <c r="F43" s="168"/>
      <c r="G43" s="168"/>
      <c r="H43" s="588"/>
      <c r="I43" s="569"/>
      <c r="J43" s="569"/>
      <c r="K43" s="569"/>
      <c r="L43" s="569"/>
      <c r="M43" s="189"/>
      <c r="N43" s="189"/>
      <c r="O43" s="189"/>
      <c r="P43" s="189"/>
      <c r="Q43" s="189"/>
      <c r="R43" s="189"/>
      <c r="S43" s="189"/>
      <c r="T43" s="189"/>
      <c r="U43" s="14">
        <f t="shared" si="1"/>
        <v>0</v>
      </c>
      <c r="V43" s="196">
        <f t="shared" si="2"/>
        <v>0</v>
      </c>
      <c r="W43" s="188"/>
      <c r="X43" s="188"/>
      <c r="Y43" s="188"/>
      <c r="Z43" s="189"/>
      <c r="AA43" s="189"/>
      <c r="AB43" s="189"/>
      <c r="AC43" s="189"/>
    </row>
    <row r="44" spans="1:29" x14ac:dyDescent="0.25">
      <c r="A44" s="368" t="s">
        <v>28</v>
      </c>
      <c r="B44" s="368" t="s">
        <v>140</v>
      </c>
      <c r="C44" s="372" t="s">
        <v>189</v>
      </c>
      <c r="D44" s="359"/>
      <c r="E44" s="168"/>
      <c r="F44" s="168"/>
      <c r="G44" s="168"/>
      <c r="H44" s="588"/>
      <c r="I44" s="569"/>
      <c r="J44" s="569"/>
      <c r="K44" s="569"/>
      <c r="L44" s="569"/>
      <c r="M44" s="189"/>
      <c r="N44" s="189"/>
      <c r="O44" s="189"/>
      <c r="P44" s="189"/>
      <c r="Q44" s="189"/>
      <c r="R44" s="189"/>
      <c r="S44" s="189"/>
      <c r="T44" s="189"/>
      <c r="U44" s="14">
        <f t="shared" si="1"/>
        <v>0</v>
      </c>
      <c r="V44" s="196">
        <f t="shared" si="2"/>
        <v>0</v>
      </c>
      <c r="W44" s="188"/>
      <c r="X44" s="188"/>
      <c r="Y44" s="188"/>
      <c r="Z44" s="189"/>
      <c r="AA44" s="189"/>
      <c r="AB44" s="189"/>
      <c r="AC44" s="189"/>
    </row>
    <row r="45" spans="1:29" x14ac:dyDescent="0.25">
      <c r="A45" s="368" t="s">
        <v>28</v>
      </c>
      <c r="B45" s="368" t="s">
        <v>190</v>
      </c>
      <c r="C45" s="368" t="s">
        <v>191</v>
      </c>
      <c r="D45" s="356"/>
      <c r="E45" s="168"/>
      <c r="F45" s="168"/>
      <c r="G45" s="168"/>
      <c r="H45" s="588"/>
      <c r="I45" s="569"/>
      <c r="J45" s="569"/>
      <c r="K45" s="569"/>
      <c r="L45" s="569"/>
      <c r="M45" s="189"/>
      <c r="N45" s="189"/>
      <c r="O45" s="189"/>
      <c r="P45" s="189"/>
      <c r="Q45" s="189"/>
      <c r="R45" s="189"/>
      <c r="S45" s="189"/>
      <c r="T45" s="189"/>
      <c r="U45" s="14">
        <f t="shared" si="1"/>
        <v>0</v>
      </c>
      <c r="V45" s="196">
        <f t="shared" si="2"/>
        <v>0</v>
      </c>
      <c r="W45" s="188"/>
      <c r="X45" s="188"/>
      <c r="Y45" s="188"/>
      <c r="Z45" s="189"/>
      <c r="AA45" s="189"/>
      <c r="AB45" s="189"/>
      <c r="AC45" s="189"/>
    </row>
    <row r="46" spans="1:29" x14ac:dyDescent="0.25">
      <c r="A46" s="368" t="s">
        <v>28</v>
      </c>
      <c r="B46" s="368" t="s">
        <v>190</v>
      </c>
      <c r="C46" s="368">
        <v>10135</v>
      </c>
      <c r="D46" s="356"/>
      <c r="E46" s="168"/>
      <c r="F46" s="168"/>
      <c r="G46" s="168"/>
      <c r="H46" s="588"/>
      <c r="I46" s="569"/>
      <c r="J46" s="569"/>
      <c r="K46" s="569"/>
      <c r="L46" s="569"/>
      <c r="M46" s="189"/>
      <c r="N46" s="189"/>
      <c r="O46" s="189"/>
      <c r="P46" s="189"/>
      <c r="Q46" s="189"/>
      <c r="R46" s="189"/>
      <c r="S46" s="189"/>
      <c r="T46" s="189"/>
      <c r="U46" s="14">
        <f t="shared" si="1"/>
        <v>0</v>
      </c>
      <c r="V46" s="196">
        <f t="shared" si="2"/>
        <v>0</v>
      </c>
      <c r="W46" s="188"/>
      <c r="X46" s="188"/>
      <c r="Y46" s="188"/>
      <c r="Z46" s="189"/>
      <c r="AA46" s="189"/>
      <c r="AB46" s="189"/>
      <c r="AC46" s="189"/>
    </row>
    <row r="47" spans="1:29" x14ac:dyDescent="0.25">
      <c r="A47" s="368" t="s">
        <v>28</v>
      </c>
      <c r="B47" s="368" t="s">
        <v>190</v>
      </c>
      <c r="C47" s="368">
        <v>10160</v>
      </c>
      <c r="D47" s="356"/>
      <c r="E47" s="168"/>
      <c r="F47" s="168"/>
      <c r="G47" s="168"/>
      <c r="H47" s="588"/>
      <c r="I47" s="569"/>
      <c r="J47" s="569"/>
      <c r="K47" s="569"/>
      <c r="L47" s="569"/>
      <c r="M47" s="189"/>
      <c r="N47" s="189"/>
      <c r="O47" s="189"/>
      <c r="P47" s="189"/>
      <c r="Q47" s="189"/>
      <c r="R47" s="189"/>
      <c r="S47" s="189"/>
      <c r="T47" s="189"/>
      <c r="U47" s="14">
        <f t="shared" si="1"/>
        <v>0</v>
      </c>
      <c r="V47" s="196">
        <f t="shared" si="2"/>
        <v>0</v>
      </c>
      <c r="W47" s="188"/>
      <c r="X47" s="188"/>
      <c r="Y47" s="188"/>
      <c r="Z47" s="189"/>
      <c r="AA47" s="189"/>
      <c r="AB47" s="189"/>
      <c r="AC47" s="189"/>
    </row>
    <row r="48" spans="1:29" x14ac:dyDescent="0.25">
      <c r="A48" s="368" t="s">
        <v>28</v>
      </c>
      <c r="B48" s="368" t="s">
        <v>190</v>
      </c>
      <c r="C48" s="368" t="s">
        <v>192</v>
      </c>
      <c r="D48" s="356"/>
      <c r="E48" s="168"/>
      <c r="F48" s="168"/>
      <c r="G48" s="168"/>
      <c r="H48" s="588"/>
      <c r="I48" s="569"/>
      <c r="J48" s="569"/>
      <c r="K48" s="569"/>
      <c r="L48" s="569"/>
      <c r="M48" s="189"/>
      <c r="N48" s="189"/>
      <c r="O48" s="189"/>
      <c r="P48" s="189"/>
      <c r="Q48" s="189"/>
      <c r="R48" s="189"/>
      <c r="S48" s="189"/>
      <c r="T48" s="189"/>
      <c r="U48" s="14">
        <f t="shared" si="1"/>
        <v>0</v>
      </c>
      <c r="V48" s="196">
        <f t="shared" si="2"/>
        <v>0</v>
      </c>
      <c r="W48" s="188"/>
      <c r="X48" s="188"/>
      <c r="Y48" s="188"/>
      <c r="Z48" s="189"/>
      <c r="AA48" s="189"/>
      <c r="AB48" s="189"/>
      <c r="AC48" s="189"/>
    </row>
    <row r="49" spans="1:29" x14ac:dyDescent="0.25">
      <c r="A49" s="368" t="s">
        <v>28</v>
      </c>
      <c r="B49" s="368" t="s">
        <v>116</v>
      </c>
      <c r="C49" s="372" t="s">
        <v>193</v>
      </c>
      <c r="D49" s="359"/>
      <c r="E49" s="168"/>
      <c r="F49" s="168"/>
      <c r="G49" s="168"/>
      <c r="H49" s="588"/>
      <c r="I49" s="569"/>
      <c r="J49" s="569"/>
      <c r="K49" s="569"/>
      <c r="L49" s="569"/>
      <c r="M49" s="189"/>
      <c r="N49" s="189"/>
      <c r="O49" s="189"/>
      <c r="P49" s="189"/>
      <c r="Q49" s="189"/>
      <c r="R49" s="189"/>
      <c r="S49" s="189"/>
      <c r="T49" s="189"/>
      <c r="U49" s="14">
        <f t="shared" si="1"/>
        <v>0</v>
      </c>
      <c r="V49" s="196">
        <f t="shared" si="2"/>
        <v>0</v>
      </c>
      <c r="W49" s="188"/>
      <c r="X49" s="188"/>
      <c r="Y49" s="188"/>
      <c r="Z49" s="189"/>
      <c r="AA49" s="189"/>
      <c r="AB49" s="189"/>
      <c r="AC49" s="189"/>
    </row>
    <row r="50" spans="1:29" x14ac:dyDescent="0.25">
      <c r="A50" s="368" t="s">
        <v>28</v>
      </c>
      <c r="B50" s="368" t="s">
        <v>116</v>
      </c>
      <c r="C50" s="372" t="s">
        <v>194</v>
      </c>
      <c r="D50" s="359"/>
      <c r="E50" s="168"/>
      <c r="F50" s="168"/>
      <c r="G50" s="168"/>
      <c r="H50" s="588"/>
      <c r="I50" s="569"/>
      <c r="J50" s="569"/>
      <c r="K50" s="569"/>
      <c r="L50" s="569"/>
      <c r="M50" s="189"/>
      <c r="N50" s="189"/>
      <c r="O50" s="189"/>
      <c r="P50" s="189"/>
      <c r="Q50" s="189"/>
      <c r="R50" s="189"/>
      <c r="S50" s="189"/>
      <c r="T50" s="189"/>
      <c r="U50" s="14">
        <f t="shared" si="1"/>
        <v>0</v>
      </c>
      <c r="V50" s="196">
        <f t="shared" si="2"/>
        <v>0</v>
      </c>
      <c r="W50" s="188"/>
      <c r="X50" s="188"/>
      <c r="Y50" s="188"/>
      <c r="Z50" s="189"/>
      <c r="AA50" s="189"/>
      <c r="AB50" s="189"/>
      <c r="AC50" s="189"/>
    </row>
    <row r="51" spans="1:29" x14ac:dyDescent="0.25">
      <c r="A51" s="368" t="s">
        <v>28</v>
      </c>
      <c r="B51" s="368" t="s">
        <v>116</v>
      </c>
      <c r="C51" s="372" t="s">
        <v>195</v>
      </c>
      <c r="D51" s="359"/>
      <c r="E51" s="168"/>
      <c r="F51" s="168"/>
      <c r="G51" s="168"/>
      <c r="H51" s="588"/>
      <c r="I51" s="569"/>
      <c r="J51" s="569"/>
      <c r="K51" s="569"/>
      <c r="L51" s="569"/>
      <c r="M51" s="189"/>
      <c r="N51" s="189"/>
      <c r="O51" s="189"/>
      <c r="P51" s="189"/>
      <c r="Q51" s="189"/>
      <c r="R51" s="189"/>
      <c r="S51" s="189"/>
      <c r="T51" s="189"/>
      <c r="U51" s="14">
        <f t="shared" si="1"/>
        <v>0</v>
      </c>
      <c r="V51" s="196">
        <f t="shared" si="2"/>
        <v>0</v>
      </c>
      <c r="W51" s="188"/>
      <c r="X51" s="188"/>
      <c r="Y51" s="188"/>
      <c r="Z51" s="189"/>
      <c r="AA51" s="189"/>
      <c r="AB51" s="189"/>
      <c r="AC51" s="189"/>
    </row>
    <row r="52" spans="1:29" x14ac:dyDescent="0.25">
      <c r="A52" s="368" t="s">
        <v>28</v>
      </c>
      <c r="B52" s="368" t="s">
        <v>116</v>
      </c>
      <c r="C52" s="372" t="s">
        <v>196</v>
      </c>
      <c r="D52" s="359"/>
      <c r="E52" s="168"/>
      <c r="F52" s="168"/>
      <c r="G52" s="168"/>
      <c r="H52" s="588"/>
      <c r="I52" s="569"/>
      <c r="J52" s="569"/>
      <c r="K52" s="569"/>
      <c r="L52" s="569"/>
      <c r="M52" s="189"/>
      <c r="N52" s="189"/>
      <c r="O52" s="189"/>
      <c r="P52" s="189"/>
      <c r="Q52" s="189"/>
      <c r="R52" s="189"/>
      <c r="S52" s="189"/>
      <c r="T52" s="189"/>
      <c r="U52" s="14">
        <f t="shared" si="1"/>
        <v>0</v>
      </c>
      <c r="V52" s="196">
        <f t="shared" si="2"/>
        <v>0</v>
      </c>
      <c r="W52" s="188"/>
      <c r="X52" s="188"/>
      <c r="Y52" s="188"/>
      <c r="Z52" s="189"/>
      <c r="AA52" s="189"/>
      <c r="AB52" s="189"/>
      <c r="AC52" s="189"/>
    </row>
    <row r="53" spans="1:29" x14ac:dyDescent="0.25">
      <c r="A53" s="368" t="s">
        <v>28</v>
      </c>
      <c r="B53" s="368" t="s">
        <v>116</v>
      </c>
      <c r="C53" s="372" t="s">
        <v>197</v>
      </c>
      <c r="D53" s="359"/>
      <c r="E53" s="168"/>
      <c r="F53" s="168"/>
      <c r="G53" s="168"/>
      <c r="H53" s="588"/>
      <c r="I53" s="569"/>
      <c r="J53" s="569"/>
      <c r="K53" s="569"/>
      <c r="L53" s="569"/>
      <c r="M53" s="189"/>
      <c r="N53" s="189"/>
      <c r="O53" s="189"/>
      <c r="P53" s="189"/>
      <c r="Q53" s="189"/>
      <c r="R53" s="189"/>
      <c r="S53" s="189"/>
      <c r="T53" s="189"/>
      <c r="U53" s="14">
        <f t="shared" si="1"/>
        <v>0</v>
      </c>
      <c r="V53" s="196">
        <f t="shared" si="2"/>
        <v>0</v>
      </c>
      <c r="W53" s="188"/>
      <c r="X53" s="188"/>
      <c r="Y53" s="188"/>
      <c r="Z53" s="189"/>
      <c r="AA53" s="189"/>
      <c r="AB53" s="189"/>
      <c r="AC53" s="189"/>
    </row>
    <row r="54" spans="1:29" x14ac:dyDescent="0.25">
      <c r="A54" s="366" t="s">
        <v>28</v>
      </c>
      <c r="B54" s="366" t="s">
        <v>116</v>
      </c>
      <c r="C54" s="371" t="s">
        <v>198</v>
      </c>
      <c r="D54" s="358"/>
      <c r="E54" s="183"/>
      <c r="F54" s="183"/>
      <c r="G54" s="183"/>
      <c r="H54" s="588"/>
      <c r="I54" s="569"/>
      <c r="J54" s="569"/>
      <c r="K54" s="569"/>
      <c r="L54" s="569"/>
      <c r="M54" s="189"/>
      <c r="N54" s="189"/>
      <c r="O54" s="189"/>
      <c r="P54" s="189"/>
      <c r="Q54" s="189"/>
      <c r="R54" s="189"/>
      <c r="S54" s="189"/>
      <c r="T54" s="189"/>
      <c r="U54" s="14">
        <f t="shared" si="1"/>
        <v>0</v>
      </c>
      <c r="V54" s="196">
        <f t="shared" si="2"/>
        <v>0</v>
      </c>
      <c r="W54" s="184">
        <v>45</v>
      </c>
      <c r="X54" s="184">
        <v>8</v>
      </c>
      <c r="Y54" s="184">
        <v>4</v>
      </c>
      <c r="Z54" s="14"/>
      <c r="AA54" s="189"/>
      <c r="AB54" s="189"/>
      <c r="AC54" s="189"/>
    </row>
    <row r="55" spans="1:29" x14ac:dyDescent="0.25">
      <c r="A55" s="368" t="s">
        <v>28</v>
      </c>
      <c r="B55" s="368" t="s">
        <v>116</v>
      </c>
      <c r="C55" s="372" t="s">
        <v>199</v>
      </c>
      <c r="D55" s="359"/>
      <c r="E55" s="168"/>
      <c r="F55" s="168"/>
      <c r="G55" s="168"/>
      <c r="H55" s="588"/>
      <c r="I55" s="569"/>
      <c r="J55" s="569"/>
      <c r="K55" s="569"/>
      <c r="L55" s="569"/>
      <c r="M55" s="189"/>
      <c r="N55" s="189"/>
      <c r="O55" s="189"/>
      <c r="P55" s="189"/>
      <c r="Q55" s="189"/>
      <c r="R55" s="189"/>
      <c r="S55" s="189"/>
      <c r="T55" s="189"/>
      <c r="U55" s="14">
        <f t="shared" si="1"/>
        <v>0</v>
      </c>
      <c r="V55" s="196">
        <f t="shared" si="2"/>
        <v>0</v>
      </c>
      <c r="W55" s="188"/>
      <c r="X55" s="188"/>
      <c r="Y55" s="188"/>
      <c r="Z55" s="189"/>
      <c r="AA55" s="189"/>
      <c r="AB55" s="189"/>
      <c r="AC55" s="189"/>
    </row>
    <row r="56" spans="1:29" x14ac:dyDescent="0.25">
      <c r="A56" s="368" t="s">
        <v>28</v>
      </c>
      <c r="B56" s="368" t="s">
        <v>116</v>
      </c>
      <c r="C56" s="372" t="s">
        <v>200</v>
      </c>
      <c r="D56" s="359"/>
      <c r="E56" s="168"/>
      <c r="F56" s="168"/>
      <c r="G56" s="168"/>
      <c r="H56" s="588"/>
      <c r="I56" s="569"/>
      <c r="J56" s="569"/>
      <c r="K56" s="569"/>
      <c r="L56" s="569"/>
      <c r="M56" s="189"/>
      <c r="N56" s="189"/>
      <c r="O56" s="189"/>
      <c r="P56" s="189"/>
      <c r="Q56" s="189"/>
      <c r="R56" s="189"/>
      <c r="S56" s="189"/>
      <c r="T56" s="189"/>
      <c r="U56" s="14">
        <f t="shared" si="1"/>
        <v>0</v>
      </c>
      <c r="V56" s="196">
        <f t="shared" si="2"/>
        <v>0</v>
      </c>
      <c r="W56" s="188"/>
      <c r="X56" s="188"/>
      <c r="Y56" s="188"/>
      <c r="Z56" s="189"/>
      <c r="AA56" s="189"/>
      <c r="AB56" s="189"/>
      <c r="AC56" s="189"/>
    </row>
    <row r="57" spans="1:29" x14ac:dyDescent="0.25">
      <c r="A57" s="368" t="s">
        <v>28</v>
      </c>
      <c r="B57" s="368" t="s">
        <v>116</v>
      </c>
      <c r="C57" s="372" t="s">
        <v>201</v>
      </c>
      <c r="D57" s="359"/>
      <c r="E57" s="168"/>
      <c r="F57" s="168"/>
      <c r="G57" s="168"/>
      <c r="H57" s="588"/>
      <c r="I57" s="569"/>
      <c r="J57" s="569"/>
      <c r="K57" s="569"/>
      <c r="L57" s="569"/>
      <c r="M57" s="189"/>
      <c r="N57" s="189"/>
      <c r="O57" s="189"/>
      <c r="P57" s="189"/>
      <c r="Q57" s="189"/>
      <c r="R57" s="189"/>
      <c r="S57" s="189"/>
      <c r="T57" s="189"/>
      <c r="U57" s="14">
        <f t="shared" si="1"/>
        <v>0</v>
      </c>
      <c r="V57" s="196">
        <f t="shared" si="2"/>
        <v>0</v>
      </c>
      <c r="W57" s="188"/>
      <c r="X57" s="188"/>
      <c r="Y57" s="188"/>
      <c r="Z57" s="189"/>
      <c r="AA57" s="189"/>
      <c r="AB57" s="189"/>
      <c r="AC57" s="189"/>
    </row>
    <row r="58" spans="1:29" x14ac:dyDescent="0.25">
      <c r="A58" s="368" t="s">
        <v>28</v>
      </c>
      <c r="B58" s="368" t="s">
        <v>116</v>
      </c>
      <c r="C58" s="372" t="s">
        <v>202</v>
      </c>
      <c r="D58" s="359"/>
      <c r="E58" s="168"/>
      <c r="F58" s="168"/>
      <c r="G58" s="168"/>
      <c r="H58" s="588"/>
      <c r="I58" s="569"/>
      <c r="J58" s="569"/>
      <c r="K58" s="569"/>
      <c r="L58" s="569"/>
      <c r="M58" s="189"/>
      <c r="N58" s="189"/>
      <c r="O58" s="189"/>
      <c r="P58" s="189"/>
      <c r="Q58" s="189"/>
      <c r="R58" s="189"/>
      <c r="S58" s="189"/>
      <c r="T58" s="189"/>
      <c r="U58" s="14">
        <f t="shared" si="1"/>
        <v>0</v>
      </c>
      <c r="V58" s="196">
        <f t="shared" si="2"/>
        <v>0</v>
      </c>
      <c r="W58" s="188"/>
      <c r="X58" s="188"/>
      <c r="Y58" s="188"/>
      <c r="Z58" s="189"/>
      <c r="AA58" s="189"/>
      <c r="AB58" s="189"/>
      <c r="AC58" s="189"/>
    </row>
    <row r="59" spans="1:29" x14ac:dyDescent="0.25">
      <c r="A59" s="368" t="s">
        <v>28</v>
      </c>
      <c r="B59" s="368" t="s">
        <v>116</v>
      </c>
      <c r="C59" s="372" t="s">
        <v>203</v>
      </c>
      <c r="D59" s="359"/>
      <c r="E59" s="168"/>
      <c r="F59" s="168"/>
      <c r="G59" s="168"/>
      <c r="H59" s="588"/>
      <c r="I59" s="569"/>
      <c r="J59" s="569"/>
      <c r="K59" s="569"/>
      <c r="L59" s="569"/>
      <c r="M59" s="189"/>
      <c r="N59" s="189"/>
      <c r="O59" s="189"/>
      <c r="P59" s="189"/>
      <c r="Q59" s="189"/>
      <c r="R59" s="189"/>
      <c r="S59" s="189"/>
      <c r="T59" s="189"/>
      <c r="U59" s="14">
        <f t="shared" si="1"/>
        <v>0</v>
      </c>
      <c r="V59" s="196">
        <f t="shared" si="2"/>
        <v>0</v>
      </c>
      <c r="W59" s="188"/>
      <c r="X59" s="188"/>
      <c r="Y59" s="188"/>
      <c r="Z59" s="189"/>
      <c r="AA59" s="189"/>
      <c r="AB59" s="189"/>
      <c r="AC59" s="189"/>
    </row>
    <row r="60" spans="1:29" x14ac:dyDescent="0.25">
      <c r="A60" s="368" t="s">
        <v>28</v>
      </c>
      <c r="B60" s="372" t="s">
        <v>116</v>
      </c>
      <c r="C60" s="372" t="s">
        <v>204</v>
      </c>
      <c r="D60" s="359"/>
      <c r="E60" s="168"/>
      <c r="F60" s="168"/>
      <c r="G60" s="168"/>
      <c r="H60" s="588"/>
      <c r="I60" s="569"/>
      <c r="J60" s="569"/>
      <c r="K60" s="569"/>
      <c r="L60" s="569"/>
      <c r="M60" s="189"/>
      <c r="N60" s="189"/>
      <c r="O60" s="189"/>
      <c r="P60" s="189"/>
      <c r="Q60" s="189"/>
      <c r="R60" s="189"/>
      <c r="S60" s="189"/>
      <c r="T60" s="189"/>
      <c r="U60" s="14">
        <f t="shared" si="1"/>
        <v>0</v>
      </c>
      <c r="V60" s="196">
        <f t="shared" si="2"/>
        <v>0</v>
      </c>
      <c r="W60" s="188"/>
      <c r="X60" s="188"/>
      <c r="Y60" s="188"/>
      <c r="Z60" s="189"/>
      <c r="AA60" s="189"/>
      <c r="AB60" s="189"/>
      <c r="AC60" s="189"/>
    </row>
    <row r="61" spans="1:29" x14ac:dyDescent="0.25">
      <c r="A61" s="368" t="s">
        <v>28</v>
      </c>
      <c r="B61" s="368" t="s">
        <v>116</v>
      </c>
      <c r="C61" s="372" t="s">
        <v>205</v>
      </c>
      <c r="D61" s="359"/>
      <c r="E61" s="168"/>
      <c r="F61" s="168"/>
      <c r="G61" s="168"/>
      <c r="H61" s="588"/>
      <c r="I61" s="569"/>
      <c r="J61" s="569"/>
      <c r="K61" s="569"/>
      <c r="L61" s="569"/>
      <c r="M61" s="189"/>
      <c r="N61" s="189"/>
      <c r="O61" s="189"/>
      <c r="P61" s="189"/>
      <c r="Q61" s="189"/>
      <c r="R61" s="189"/>
      <c r="S61" s="189"/>
      <c r="T61" s="189"/>
      <c r="U61" s="14">
        <f t="shared" si="1"/>
        <v>0</v>
      </c>
      <c r="V61" s="196">
        <f t="shared" si="2"/>
        <v>0</v>
      </c>
      <c r="W61" s="188"/>
      <c r="X61" s="188"/>
      <c r="Y61" s="188"/>
      <c r="Z61" s="189"/>
      <c r="AA61" s="189"/>
      <c r="AB61" s="189"/>
      <c r="AC61" s="189"/>
    </row>
    <row r="62" spans="1:29" x14ac:dyDescent="0.25">
      <c r="A62" s="368" t="s">
        <v>28</v>
      </c>
      <c r="B62" s="368" t="s">
        <v>116</v>
      </c>
      <c r="C62" s="372" t="s">
        <v>206</v>
      </c>
      <c r="D62" s="359"/>
      <c r="E62" s="168"/>
      <c r="F62" s="168"/>
      <c r="G62" s="168"/>
      <c r="H62" s="588"/>
      <c r="I62" s="569"/>
      <c r="J62" s="569"/>
      <c r="K62" s="569"/>
      <c r="L62" s="569"/>
      <c r="M62" s="189"/>
      <c r="N62" s="189"/>
      <c r="O62" s="189"/>
      <c r="P62" s="189"/>
      <c r="Q62" s="189"/>
      <c r="R62" s="189"/>
      <c r="S62" s="189"/>
      <c r="T62" s="189"/>
      <c r="U62" s="14">
        <f t="shared" si="1"/>
        <v>0</v>
      </c>
      <c r="V62" s="196">
        <f t="shared" si="2"/>
        <v>0</v>
      </c>
      <c r="W62" s="188"/>
      <c r="X62" s="188"/>
      <c r="Y62" s="188"/>
      <c r="Z62" s="189"/>
      <c r="AA62" s="189"/>
      <c r="AB62" s="189"/>
      <c r="AC62" s="189"/>
    </row>
    <row r="63" spans="1:29" x14ac:dyDescent="0.25">
      <c r="A63" s="368" t="s">
        <v>28</v>
      </c>
      <c r="B63" s="368" t="s">
        <v>116</v>
      </c>
      <c r="C63" s="372" t="s">
        <v>207</v>
      </c>
      <c r="D63" s="359"/>
      <c r="E63" s="168"/>
      <c r="F63" s="168"/>
      <c r="G63" s="168"/>
      <c r="H63" s="588"/>
      <c r="I63" s="569"/>
      <c r="J63" s="569"/>
      <c r="K63" s="569"/>
      <c r="L63" s="569"/>
      <c r="M63" s="189"/>
      <c r="N63" s="189"/>
      <c r="O63" s="189"/>
      <c r="P63" s="189"/>
      <c r="Q63" s="189"/>
      <c r="R63" s="189"/>
      <c r="S63" s="189"/>
      <c r="T63" s="189"/>
      <c r="U63" s="14">
        <f t="shared" si="1"/>
        <v>0</v>
      </c>
      <c r="V63" s="196">
        <f t="shared" si="2"/>
        <v>0</v>
      </c>
      <c r="W63" s="188"/>
      <c r="X63" s="188"/>
      <c r="Y63" s="188"/>
      <c r="Z63" s="189"/>
      <c r="AA63" s="189"/>
      <c r="AB63" s="189"/>
      <c r="AC63" s="189"/>
    </row>
    <row r="64" spans="1:29" x14ac:dyDescent="0.25">
      <c r="A64" s="366" t="s">
        <v>28</v>
      </c>
      <c r="B64" s="366" t="s">
        <v>122</v>
      </c>
      <c r="C64" s="373">
        <v>845</v>
      </c>
      <c r="D64" s="360"/>
      <c r="E64" s="183"/>
      <c r="F64" s="183"/>
      <c r="G64" s="183"/>
      <c r="H64" s="588"/>
      <c r="I64" s="569"/>
      <c r="J64" s="569"/>
      <c r="K64" s="569"/>
      <c r="L64" s="569"/>
      <c r="M64" s="189"/>
      <c r="N64" s="189"/>
      <c r="O64" s="189"/>
      <c r="P64" s="189"/>
      <c r="Q64" s="189"/>
      <c r="R64" s="189"/>
      <c r="S64" s="189"/>
      <c r="T64" s="189"/>
      <c r="U64" s="14">
        <f t="shared" si="1"/>
        <v>0</v>
      </c>
      <c r="V64" s="196">
        <f t="shared" si="2"/>
        <v>0</v>
      </c>
      <c r="W64" s="184">
        <v>40</v>
      </c>
      <c r="X64" s="184">
        <v>6</v>
      </c>
      <c r="Y64" s="184">
        <v>4</v>
      </c>
      <c r="Z64" s="189"/>
      <c r="AA64" s="189"/>
      <c r="AB64" s="189"/>
      <c r="AC64" s="189"/>
    </row>
    <row r="65" spans="1:29" x14ac:dyDescent="0.25">
      <c r="A65" s="368" t="s">
        <v>28</v>
      </c>
      <c r="B65" s="368" t="s">
        <v>122</v>
      </c>
      <c r="C65" s="368">
        <v>850</v>
      </c>
      <c r="D65" s="356"/>
      <c r="E65" s="168"/>
      <c r="F65" s="168"/>
      <c r="G65" s="168"/>
      <c r="H65" s="588"/>
      <c r="I65" s="569"/>
      <c r="J65" s="569"/>
      <c r="K65" s="569"/>
      <c r="L65" s="569"/>
      <c r="M65" s="189"/>
      <c r="N65" s="189"/>
      <c r="O65" s="189"/>
      <c r="P65" s="189"/>
      <c r="Q65" s="189"/>
      <c r="R65" s="189"/>
      <c r="S65" s="189"/>
      <c r="T65" s="189"/>
      <c r="U65" s="14">
        <f t="shared" si="1"/>
        <v>0</v>
      </c>
      <c r="V65" s="196">
        <f t="shared" si="2"/>
        <v>0</v>
      </c>
      <c r="W65" s="188"/>
      <c r="X65" s="188"/>
      <c r="Y65" s="188"/>
      <c r="Z65" s="189"/>
      <c r="AA65" s="189"/>
      <c r="AB65" s="189"/>
      <c r="AC65" s="189"/>
    </row>
    <row r="66" spans="1:29" x14ac:dyDescent="0.25">
      <c r="A66" s="366" t="s">
        <v>28</v>
      </c>
      <c r="B66" s="366" t="s">
        <v>122</v>
      </c>
      <c r="C66" s="368" t="s">
        <v>208</v>
      </c>
      <c r="D66" s="356"/>
      <c r="E66" s="183"/>
      <c r="F66" s="183"/>
      <c r="G66" s="183"/>
      <c r="H66" s="588"/>
      <c r="I66" s="569"/>
      <c r="J66" s="569"/>
      <c r="K66" s="569"/>
      <c r="L66" s="569"/>
      <c r="M66" s="189"/>
      <c r="N66" s="189"/>
      <c r="O66" s="189"/>
      <c r="P66" s="189"/>
      <c r="Q66" s="189"/>
      <c r="R66" s="189"/>
      <c r="S66" s="189"/>
      <c r="T66" s="189"/>
      <c r="U66" s="14">
        <f t="shared" si="1"/>
        <v>0</v>
      </c>
      <c r="V66" s="196">
        <f t="shared" si="2"/>
        <v>0</v>
      </c>
      <c r="W66" s="184">
        <v>40</v>
      </c>
      <c r="X66" s="184">
        <v>6</v>
      </c>
      <c r="Y66" s="184">
        <v>4</v>
      </c>
      <c r="Z66" s="189"/>
      <c r="AA66" s="189"/>
      <c r="AB66" s="189"/>
      <c r="AC66" s="189"/>
    </row>
    <row r="67" spans="1:29" x14ac:dyDescent="0.25">
      <c r="A67" s="366" t="s">
        <v>28</v>
      </c>
      <c r="B67" s="366" t="s">
        <v>122</v>
      </c>
      <c r="C67" s="373" t="s">
        <v>209</v>
      </c>
      <c r="D67" s="360"/>
      <c r="E67" s="183"/>
      <c r="F67" s="183"/>
      <c r="G67" s="183"/>
      <c r="H67" s="588"/>
      <c r="I67" s="569"/>
      <c r="J67" s="569"/>
      <c r="K67" s="569"/>
      <c r="L67" s="569"/>
      <c r="M67" s="189"/>
      <c r="N67" s="189"/>
      <c r="O67" s="189"/>
      <c r="P67" s="189"/>
      <c r="Q67" s="189"/>
      <c r="R67" s="189"/>
      <c r="S67" s="189"/>
      <c r="T67" s="189"/>
      <c r="U67" s="14">
        <f t="shared" si="1"/>
        <v>0</v>
      </c>
      <c r="V67" s="196">
        <f t="shared" si="2"/>
        <v>0</v>
      </c>
      <c r="W67" s="184">
        <v>40</v>
      </c>
      <c r="X67" s="184">
        <v>6</v>
      </c>
      <c r="Y67" s="184">
        <v>4</v>
      </c>
      <c r="Z67" s="189"/>
      <c r="AA67" s="189"/>
      <c r="AB67" s="189"/>
      <c r="AC67" s="189"/>
    </row>
    <row r="68" spans="1:29" x14ac:dyDescent="0.25">
      <c r="A68" s="366" t="s">
        <v>28</v>
      </c>
      <c r="B68" s="366" t="s">
        <v>122</v>
      </c>
      <c r="C68" s="368" t="s">
        <v>210</v>
      </c>
      <c r="D68" s="356"/>
      <c r="E68" s="183"/>
      <c r="F68" s="183"/>
      <c r="G68" s="183"/>
      <c r="H68" s="588"/>
      <c r="I68" s="569"/>
      <c r="J68" s="569"/>
      <c r="K68" s="569"/>
      <c r="L68" s="569"/>
      <c r="M68" s="189"/>
      <c r="N68" s="189"/>
      <c r="O68" s="189"/>
      <c r="P68" s="189"/>
      <c r="Q68" s="189"/>
      <c r="R68" s="189"/>
      <c r="S68" s="189"/>
      <c r="T68" s="189"/>
      <c r="U68" s="14">
        <f t="shared" ref="U68:U131" si="3">SUM(I68:T68)</f>
        <v>0</v>
      </c>
      <c r="V68" s="196">
        <f t="shared" ref="V68:V131" si="4">IF(X68=0,0,(U68/52*(W68+X68+Y68))-E68-F68+G68)</f>
        <v>0</v>
      </c>
      <c r="W68" s="184">
        <v>40</v>
      </c>
      <c r="X68" s="184">
        <v>6</v>
      </c>
      <c r="Y68" s="184">
        <v>4</v>
      </c>
      <c r="Z68" s="189"/>
      <c r="AA68" s="189"/>
      <c r="AB68" s="189"/>
      <c r="AC68" s="189"/>
    </row>
    <row r="69" spans="1:29" x14ac:dyDescent="0.25">
      <c r="A69" s="366" t="s">
        <v>28</v>
      </c>
      <c r="B69" s="366" t="s">
        <v>211</v>
      </c>
      <c r="C69" s="368" t="s">
        <v>212</v>
      </c>
      <c r="D69" s="356"/>
      <c r="E69" s="183"/>
      <c r="F69" s="183"/>
      <c r="G69" s="183"/>
      <c r="H69" s="588"/>
      <c r="I69" s="569"/>
      <c r="J69" s="569"/>
      <c r="K69" s="569"/>
      <c r="L69" s="569"/>
      <c r="M69" s="189"/>
      <c r="N69" s="189"/>
      <c r="O69" s="189"/>
      <c r="P69" s="189"/>
      <c r="Q69" s="189"/>
      <c r="R69" s="189"/>
      <c r="S69" s="189"/>
      <c r="T69" s="189"/>
      <c r="U69" s="14">
        <f t="shared" si="3"/>
        <v>0</v>
      </c>
      <c r="V69" s="196">
        <f t="shared" si="4"/>
        <v>0</v>
      </c>
      <c r="W69" s="184">
        <v>40</v>
      </c>
      <c r="X69" s="184">
        <v>6</v>
      </c>
      <c r="Y69" s="184">
        <v>4</v>
      </c>
      <c r="Z69" s="14"/>
      <c r="AA69" s="189"/>
      <c r="AB69" s="712"/>
      <c r="AC69" s="712"/>
    </row>
    <row r="70" spans="1:29" x14ac:dyDescent="0.25">
      <c r="A70" s="366" t="s">
        <v>28</v>
      </c>
      <c r="B70" s="366" t="s">
        <v>211</v>
      </c>
      <c r="C70" s="368" t="s">
        <v>213</v>
      </c>
      <c r="D70" s="356"/>
      <c r="E70" s="183"/>
      <c r="F70" s="183"/>
      <c r="G70" s="183"/>
      <c r="H70" s="588"/>
      <c r="I70" s="569"/>
      <c r="J70" s="569"/>
      <c r="K70" s="569"/>
      <c r="L70" s="569"/>
      <c r="M70" s="189"/>
      <c r="N70" s="189"/>
      <c r="O70" s="189"/>
      <c r="P70" s="189"/>
      <c r="Q70" s="189"/>
      <c r="R70" s="189"/>
      <c r="S70" s="189"/>
      <c r="T70" s="189"/>
      <c r="U70" s="14">
        <f t="shared" si="3"/>
        <v>0</v>
      </c>
      <c r="V70" s="196">
        <f t="shared" si="4"/>
        <v>0</v>
      </c>
      <c r="W70" s="184">
        <v>40</v>
      </c>
      <c r="X70" s="184">
        <v>6</v>
      </c>
      <c r="Y70" s="184">
        <v>4</v>
      </c>
      <c r="Z70" s="189"/>
      <c r="AA70" s="189"/>
      <c r="AB70" s="189"/>
      <c r="AC70" s="189"/>
    </row>
    <row r="71" spans="1:29" x14ac:dyDescent="0.25">
      <c r="A71" s="366" t="s">
        <v>28</v>
      </c>
      <c r="B71" s="366" t="s">
        <v>214</v>
      </c>
      <c r="C71" s="368" t="s">
        <v>215</v>
      </c>
      <c r="D71" s="356"/>
      <c r="E71" s="183"/>
      <c r="F71" s="183"/>
      <c r="G71" s="183"/>
      <c r="H71" s="588"/>
      <c r="I71" s="569"/>
      <c r="J71" s="569"/>
      <c r="K71" s="569"/>
      <c r="L71" s="569"/>
      <c r="M71" s="189"/>
      <c r="N71" s="189"/>
      <c r="O71" s="189"/>
      <c r="P71" s="189"/>
      <c r="Q71" s="189"/>
      <c r="R71" s="189"/>
      <c r="S71" s="189"/>
      <c r="T71" s="189"/>
      <c r="U71" s="14">
        <f t="shared" si="3"/>
        <v>0</v>
      </c>
      <c r="V71" s="196">
        <f t="shared" si="4"/>
        <v>0</v>
      </c>
      <c r="W71" s="184">
        <v>40</v>
      </c>
      <c r="X71" s="184">
        <v>6</v>
      </c>
      <c r="Y71" s="184">
        <v>4</v>
      </c>
      <c r="Z71" s="189"/>
      <c r="AA71" s="189"/>
      <c r="AB71" s="189"/>
      <c r="AC71" s="189"/>
    </row>
    <row r="72" spans="1:29" x14ac:dyDescent="0.25">
      <c r="A72" s="366" t="s">
        <v>28</v>
      </c>
      <c r="B72" s="366" t="s">
        <v>214</v>
      </c>
      <c r="C72" s="368" t="s">
        <v>216</v>
      </c>
      <c r="D72" s="356"/>
      <c r="E72" s="183"/>
      <c r="F72" s="183"/>
      <c r="G72" s="183"/>
      <c r="H72" s="588"/>
      <c r="I72" s="569"/>
      <c r="J72" s="569"/>
      <c r="K72" s="569"/>
      <c r="L72" s="569"/>
      <c r="M72" s="189"/>
      <c r="N72" s="189"/>
      <c r="O72" s="189"/>
      <c r="P72" s="189"/>
      <c r="Q72" s="189"/>
      <c r="R72" s="189"/>
      <c r="S72" s="189"/>
      <c r="T72" s="189"/>
      <c r="U72" s="14">
        <f t="shared" si="3"/>
        <v>0</v>
      </c>
      <c r="V72" s="196">
        <f t="shared" si="4"/>
        <v>0</v>
      </c>
      <c r="W72" s="184">
        <v>40</v>
      </c>
      <c r="X72" s="184">
        <v>6</v>
      </c>
      <c r="Y72" s="184">
        <v>4</v>
      </c>
      <c r="Z72" s="189"/>
      <c r="AA72" s="189"/>
      <c r="AB72" s="189"/>
      <c r="AC72" s="189"/>
    </row>
    <row r="73" spans="1:29" x14ac:dyDescent="0.25">
      <c r="A73" s="366" t="s">
        <v>28</v>
      </c>
      <c r="B73" s="366" t="s">
        <v>214</v>
      </c>
      <c r="C73" s="368" t="s">
        <v>217</v>
      </c>
      <c r="D73" s="356"/>
      <c r="E73" s="183"/>
      <c r="F73" s="183"/>
      <c r="G73" s="183"/>
      <c r="H73" s="588"/>
      <c r="I73" s="569"/>
      <c r="J73" s="569"/>
      <c r="K73" s="569"/>
      <c r="L73" s="569"/>
      <c r="M73" s="189"/>
      <c r="N73" s="189"/>
      <c r="O73" s="189"/>
      <c r="P73" s="189"/>
      <c r="Q73" s="189"/>
      <c r="R73" s="189"/>
      <c r="S73" s="189"/>
      <c r="T73" s="189"/>
      <c r="U73" s="14">
        <f t="shared" si="3"/>
        <v>0</v>
      </c>
      <c r="V73" s="196">
        <f t="shared" si="4"/>
        <v>0</v>
      </c>
      <c r="W73" s="184">
        <v>40</v>
      </c>
      <c r="X73" s="184">
        <v>6</v>
      </c>
      <c r="Y73" s="184">
        <v>4</v>
      </c>
      <c r="Z73" s="189"/>
      <c r="AA73" s="189"/>
      <c r="AB73" s="189"/>
      <c r="AC73" s="189"/>
    </row>
    <row r="74" spans="1:29" x14ac:dyDescent="0.25">
      <c r="A74" s="368" t="s">
        <v>28</v>
      </c>
      <c r="B74" s="368" t="s">
        <v>218</v>
      </c>
      <c r="C74" s="368">
        <v>1645</v>
      </c>
      <c r="D74" s="356"/>
      <c r="E74" s="168"/>
      <c r="F74" s="168"/>
      <c r="G74" s="168"/>
      <c r="H74" s="588"/>
      <c r="I74" s="569"/>
      <c r="J74" s="569"/>
      <c r="K74" s="569"/>
      <c r="L74" s="569"/>
      <c r="M74" s="189"/>
      <c r="N74" s="189"/>
      <c r="O74" s="189"/>
      <c r="P74" s="189"/>
      <c r="Q74" s="189"/>
      <c r="R74" s="189"/>
      <c r="S74" s="189"/>
      <c r="T74" s="189"/>
      <c r="U74" s="14">
        <f t="shared" si="3"/>
        <v>0</v>
      </c>
      <c r="V74" s="196">
        <f t="shared" si="4"/>
        <v>0</v>
      </c>
      <c r="W74" s="188"/>
      <c r="X74" s="188"/>
      <c r="Y74" s="188"/>
      <c r="Z74" s="189"/>
      <c r="AA74" s="189"/>
      <c r="AB74" s="189"/>
      <c r="AC74" s="189"/>
    </row>
    <row r="75" spans="1:29" x14ac:dyDescent="0.25">
      <c r="A75" s="368" t="s">
        <v>28</v>
      </c>
      <c r="B75" s="368" t="s">
        <v>218</v>
      </c>
      <c r="C75" s="368">
        <v>1845</v>
      </c>
      <c r="D75" s="356"/>
      <c r="E75" s="168"/>
      <c r="F75" s="168"/>
      <c r="G75" s="168"/>
      <c r="H75" s="588"/>
      <c r="I75" s="569"/>
      <c r="J75" s="569"/>
      <c r="K75" s="569"/>
      <c r="L75" s="569"/>
      <c r="M75" s="189"/>
      <c r="N75" s="189"/>
      <c r="O75" s="189"/>
      <c r="P75" s="189"/>
      <c r="Q75" s="189"/>
      <c r="R75" s="189"/>
      <c r="S75" s="189"/>
      <c r="T75" s="189"/>
      <c r="U75" s="14">
        <f t="shared" si="3"/>
        <v>0</v>
      </c>
      <c r="V75" s="196">
        <f t="shared" si="4"/>
        <v>0</v>
      </c>
      <c r="W75" s="188"/>
      <c r="X75" s="188"/>
      <c r="Y75" s="188"/>
      <c r="Z75" s="189"/>
      <c r="AA75" s="189"/>
      <c r="AB75" s="189"/>
      <c r="AC75" s="189"/>
    </row>
    <row r="76" spans="1:29" x14ac:dyDescent="0.25">
      <c r="A76" s="368" t="s">
        <v>28</v>
      </c>
      <c r="B76" s="368" t="s">
        <v>218</v>
      </c>
      <c r="C76" s="368">
        <v>2145</v>
      </c>
      <c r="D76" s="356"/>
      <c r="E76" s="168"/>
      <c r="F76" s="168"/>
      <c r="G76" s="168"/>
      <c r="H76" s="588"/>
      <c r="I76" s="569"/>
      <c r="J76" s="569"/>
      <c r="K76" s="569"/>
      <c r="L76" s="569"/>
      <c r="M76" s="189"/>
      <c r="N76" s="189"/>
      <c r="O76" s="189"/>
      <c r="P76" s="189"/>
      <c r="Q76" s="189"/>
      <c r="R76" s="189"/>
      <c r="S76" s="189"/>
      <c r="T76" s="189"/>
      <c r="U76" s="14">
        <f t="shared" si="3"/>
        <v>0</v>
      </c>
      <c r="V76" s="196">
        <f t="shared" si="4"/>
        <v>0</v>
      </c>
      <c r="W76" s="188"/>
      <c r="X76" s="188"/>
      <c r="Y76" s="188"/>
      <c r="Z76" s="189"/>
      <c r="AA76" s="189"/>
      <c r="AB76" s="189"/>
      <c r="AC76" s="189"/>
    </row>
    <row r="77" spans="1:29" x14ac:dyDescent="0.25">
      <c r="A77" s="368" t="s">
        <v>28</v>
      </c>
      <c r="B77" s="368" t="s">
        <v>218</v>
      </c>
      <c r="C77" s="368">
        <v>2550</v>
      </c>
      <c r="D77" s="356"/>
      <c r="E77" s="168"/>
      <c r="F77" s="168"/>
      <c r="G77" s="168"/>
      <c r="H77" s="588"/>
      <c r="I77" s="569"/>
      <c r="J77" s="569"/>
      <c r="K77" s="569"/>
      <c r="L77" s="569"/>
      <c r="M77" s="189"/>
      <c r="N77" s="189"/>
      <c r="O77" s="189"/>
      <c r="P77" s="189"/>
      <c r="Q77" s="189"/>
      <c r="R77" s="189"/>
      <c r="S77" s="189"/>
      <c r="T77" s="189"/>
      <c r="U77" s="14">
        <f t="shared" si="3"/>
        <v>0</v>
      </c>
      <c r="V77" s="196">
        <f t="shared" si="4"/>
        <v>0</v>
      </c>
      <c r="W77" s="188"/>
      <c r="X77" s="188"/>
      <c r="Y77" s="188"/>
      <c r="Z77" s="189"/>
      <c r="AA77" s="189"/>
      <c r="AB77" s="189"/>
      <c r="AC77" s="189"/>
    </row>
    <row r="78" spans="1:29" x14ac:dyDescent="0.25">
      <c r="A78" s="368" t="s">
        <v>28</v>
      </c>
      <c r="B78" s="368" t="s">
        <v>218</v>
      </c>
      <c r="C78" s="368">
        <v>2650</v>
      </c>
      <c r="D78" s="356"/>
      <c r="E78" s="168"/>
      <c r="F78" s="168"/>
      <c r="G78" s="168"/>
      <c r="H78" s="588"/>
      <c r="I78" s="569"/>
      <c r="J78" s="569"/>
      <c r="K78" s="569"/>
      <c r="L78" s="569"/>
      <c r="M78" s="189"/>
      <c r="N78" s="189"/>
      <c r="O78" s="189"/>
      <c r="P78" s="189"/>
      <c r="Q78" s="189"/>
      <c r="R78" s="189"/>
      <c r="S78" s="189"/>
      <c r="T78" s="189"/>
      <c r="U78" s="14">
        <f t="shared" si="3"/>
        <v>0</v>
      </c>
      <c r="V78" s="196">
        <f t="shared" si="4"/>
        <v>0</v>
      </c>
      <c r="W78" s="188"/>
      <c r="X78" s="188"/>
      <c r="Y78" s="188"/>
      <c r="Z78" s="189"/>
      <c r="AA78" s="189"/>
      <c r="AB78" s="189"/>
      <c r="AC78" s="189"/>
    </row>
    <row r="79" spans="1:29" x14ac:dyDescent="0.25">
      <c r="A79" s="368" t="s">
        <v>28</v>
      </c>
      <c r="B79" s="368" t="s">
        <v>218</v>
      </c>
      <c r="C79" s="368">
        <v>2660</v>
      </c>
      <c r="D79" s="356"/>
      <c r="E79" s="168"/>
      <c r="F79" s="168"/>
      <c r="G79" s="168"/>
      <c r="H79" s="588"/>
      <c r="I79" s="569"/>
      <c r="J79" s="569"/>
      <c r="K79" s="569"/>
      <c r="L79" s="569"/>
      <c r="M79" s="189"/>
      <c r="N79" s="189"/>
      <c r="O79" s="189"/>
      <c r="P79" s="189"/>
      <c r="Q79" s="189"/>
      <c r="R79" s="189"/>
      <c r="S79" s="189"/>
      <c r="T79" s="189"/>
      <c r="U79" s="14">
        <f t="shared" si="3"/>
        <v>0</v>
      </c>
      <c r="V79" s="196">
        <f t="shared" si="4"/>
        <v>0</v>
      </c>
      <c r="W79" s="188"/>
      <c r="X79" s="188"/>
      <c r="Y79" s="188"/>
      <c r="Z79" s="189"/>
      <c r="AA79" s="189"/>
      <c r="AB79" s="189"/>
      <c r="AC79" s="189"/>
    </row>
    <row r="80" spans="1:29" x14ac:dyDescent="0.25">
      <c r="A80" s="368" t="s">
        <v>28</v>
      </c>
      <c r="B80" s="368" t="s">
        <v>218</v>
      </c>
      <c r="C80" s="368">
        <v>3060</v>
      </c>
      <c r="D80" s="356"/>
      <c r="E80" s="168"/>
      <c r="F80" s="168"/>
      <c r="G80" s="168"/>
      <c r="H80" s="588"/>
      <c r="I80" s="569"/>
      <c r="J80" s="569"/>
      <c r="K80" s="569"/>
      <c r="L80" s="569"/>
      <c r="M80" s="189"/>
      <c r="N80" s="189"/>
      <c r="O80" s="189"/>
      <c r="P80" s="189"/>
      <c r="Q80" s="189"/>
      <c r="R80" s="189"/>
      <c r="S80" s="189"/>
      <c r="T80" s="189"/>
      <c r="U80" s="14">
        <f t="shared" si="3"/>
        <v>0</v>
      </c>
      <c r="V80" s="196">
        <f t="shared" si="4"/>
        <v>0</v>
      </c>
      <c r="W80" s="188"/>
      <c r="X80" s="188"/>
      <c r="Y80" s="188"/>
      <c r="Z80" s="189"/>
      <c r="AA80" s="189"/>
      <c r="AB80" s="189"/>
      <c r="AC80" s="189"/>
    </row>
    <row r="81" spans="1:29" x14ac:dyDescent="0.25">
      <c r="A81" s="368" t="s">
        <v>28</v>
      </c>
      <c r="B81" s="368" t="s">
        <v>218</v>
      </c>
      <c r="C81" s="368">
        <v>3570</v>
      </c>
      <c r="D81" s="356"/>
      <c r="E81" s="168"/>
      <c r="F81" s="168"/>
      <c r="G81" s="168"/>
      <c r="H81" s="588"/>
      <c r="I81" s="569"/>
      <c r="J81" s="569"/>
      <c r="K81" s="569"/>
      <c r="L81" s="569"/>
      <c r="M81" s="189"/>
      <c r="N81" s="189"/>
      <c r="O81" s="189"/>
      <c r="P81" s="189"/>
      <c r="Q81" s="189"/>
      <c r="R81" s="189"/>
      <c r="S81" s="189"/>
      <c r="T81" s="189"/>
      <c r="U81" s="14">
        <f t="shared" si="3"/>
        <v>0</v>
      </c>
      <c r="V81" s="196">
        <f t="shared" si="4"/>
        <v>0</v>
      </c>
      <c r="W81" s="188"/>
      <c r="X81" s="188"/>
      <c r="Y81" s="188"/>
      <c r="Z81" s="189"/>
      <c r="AA81" s="189"/>
      <c r="AB81" s="189"/>
      <c r="AC81" s="189"/>
    </row>
    <row r="82" spans="1:29" x14ac:dyDescent="0.25">
      <c r="A82" s="368" t="s">
        <v>28</v>
      </c>
      <c r="B82" s="368" t="s">
        <v>218</v>
      </c>
      <c r="C82" s="368" t="s">
        <v>219</v>
      </c>
      <c r="D82" s="356"/>
      <c r="E82" s="168"/>
      <c r="F82" s="168"/>
      <c r="G82" s="168"/>
      <c r="H82" s="588"/>
      <c r="I82" s="569"/>
      <c r="J82" s="569"/>
      <c r="K82" s="569"/>
      <c r="L82" s="569"/>
      <c r="M82" s="189"/>
      <c r="N82" s="189"/>
      <c r="O82" s="189"/>
      <c r="P82" s="189"/>
      <c r="Q82" s="189"/>
      <c r="R82" s="189"/>
      <c r="S82" s="189"/>
      <c r="T82" s="189"/>
      <c r="U82" s="14">
        <f t="shared" si="3"/>
        <v>0</v>
      </c>
      <c r="V82" s="196">
        <f t="shared" si="4"/>
        <v>0</v>
      </c>
      <c r="W82" s="188"/>
      <c r="X82" s="188"/>
      <c r="Y82" s="188"/>
      <c r="Z82" s="189"/>
      <c r="AA82" s="189"/>
      <c r="AB82" s="189"/>
      <c r="AC82" s="189"/>
    </row>
    <row r="83" spans="1:29" x14ac:dyDescent="0.25">
      <c r="A83" s="368" t="s">
        <v>28</v>
      </c>
      <c r="B83" s="368" t="s">
        <v>220</v>
      </c>
      <c r="C83" s="372" t="s">
        <v>221</v>
      </c>
      <c r="D83" s="359"/>
      <c r="E83" s="168"/>
      <c r="F83" s="168"/>
      <c r="G83" s="168"/>
      <c r="H83" s="588"/>
      <c r="I83" s="569"/>
      <c r="J83" s="569"/>
      <c r="K83" s="569"/>
      <c r="L83" s="569"/>
      <c r="M83" s="189"/>
      <c r="N83" s="189"/>
      <c r="O83" s="189"/>
      <c r="P83" s="189"/>
      <c r="Q83" s="189"/>
      <c r="R83" s="189"/>
      <c r="S83" s="189"/>
      <c r="T83" s="189"/>
      <c r="U83" s="14">
        <f t="shared" si="3"/>
        <v>0</v>
      </c>
      <c r="V83" s="196">
        <f t="shared" si="4"/>
        <v>0</v>
      </c>
      <c r="W83" s="188"/>
      <c r="X83" s="188"/>
      <c r="Y83" s="188"/>
      <c r="Z83" s="189"/>
      <c r="AA83" s="189"/>
      <c r="AB83" s="189"/>
      <c r="AC83" s="189"/>
    </row>
    <row r="84" spans="1:29" x14ac:dyDescent="0.25">
      <c r="A84" s="368" t="s">
        <v>28</v>
      </c>
      <c r="B84" s="368" t="s">
        <v>220</v>
      </c>
      <c r="C84" s="372" t="s">
        <v>222</v>
      </c>
      <c r="D84" s="359"/>
      <c r="E84" s="168"/>
      <c r="F84" s="168"/>
      <c r="G84" s="168"/>
      <c r="H84" s="588"/>
      <c r="I84" s="569"/>
      <c r="J84" s="569"/>
      <c r="K84" s="569"/>
      <c r="L84" s="569"/>
      <c r="M84" s="189"/>
      <c r="N84" s="189"/>
      <c r="O84" s="189"/>
      <c r="P84" s="189"/>
      <c r="Q84" s="189"/>
      <c r="R84" s="189"/>
      <c r="S84" s="189"/>
      <c r="T84" s="189"/>
      <c r="U84" s="14">
        <f t="shared" si="3"/>
        <v>0</v>
      </c>
      <c r="V84" s="196">
        <f t="shared" si="4"/>
        <v>0</v>
      </c>
      <c r="W84" s="188"/>
      <c r="X84" s="188"/>
      <c r="Y84" s="188"/>
      <c r="Z84" s="189"/>
      <c r="AA84" s="189"/>
      <c r="AB84" s="189"/>
      <c r="AC84" s="189"/>
    </row>
    <row r="85" spans="1:29" x14ac:dyDescent="0.25">
      <c r="A85" s="368" t="s">
        <v>28</v>
      </c>
      <c r="B85" s="368" t="s">
        <v>220</v>
      </c>
      <c r="C85" s="372" t="s">
        <v>223</v>
      </c>
      <c r="D85" s="359"/>
      <c r="E85" s="168"/>
      <c r="F85" s="168"/>
      <c r="G85" s="168"/>
      <c r="H85" s="588"/>
      <c r="I85" s="569"/>
      <c r="J85" s="569"/>
      <c r="K85" s="569"/>
      <c r="L85" s="569"/>
      <c r="M85" s="189"/>
      <c r="N85" s="189"/>
      <c r="O85" s="189"/>
      <c r="P85" s="189"/>
      <c r="Q85" s="189"/>
      <c r="R85" s="189"/>
      <c r="S85" s="189"/>
      <c r="T85" s="189"/>
      <c r="U85" s="14">
        <f t="shared" si="3"/>
        <v>0</v>
      </c>
      <c r="V85" s="196">
        <f t="shared" si="4"/>
        <v>0</v>
      </c>
      <c r="W85" s="188"/>
      <c r="X85" s="188"/>
      <c r="Y85" s="188"/>
      <c r="Z85" s="189"/>
      <c r="AA85" s="189"/>
      <c r="AB85" s="189"/>
      <c r="AC85" s="189"/>
    </row>
    <row r="86" spans="1:29" x14ac:dyDescent="0.25">
      <c r="A86" s="368" t="s">
        <v>28</v>
      </c>
      <c r="B86" s="368" t="s">
        <v>220</v>
      </c>
      <c r="C86" s="372" t="s">
        <v>224</v>
      </c>
      <c r="D86" s="359"/>
      <c r="E86" s="168"/>
      <c r="F86" s="168"/>
      <c r="G86" s="168"/>
      <c r="H86" s="588"/>
      <c r="I86" s="569"/>
      <c r="J86" s="569"/>
      <c r="K86" s="569"/>
      <c r="L86" s="569"/>
      <c r="M86" s="189"/>
      <c r="N86" s="189"/>
      <c r="O86" s="189"/>
      <c r="P86" s="189"/>
      <c r="Q86" s="189"/>
      <c r="R86" s="189"/>
      <c r="S86" s="189"/>
      <c r="T86" s="189"/>
      <c r="U86" s="14">
        <f t="shared" si="3"/>
        <v>0</v>
      </c>
      <c r="V86" s="196">
        <f t="shared" si="4"/>
        <v>0</v>
      </c>
      <c r="W86" s="188"/>
      <c r="X86" s="188"/>
      <c r="Y86" s="188"/>
      <c r="Z86" s="189"/>
      <c r="AA86" s="189"/>
      <c r="AB86" s="189"/>
      <c r="AC86" s="189"/>
    </row>
    <row r="87" spans="1:29" x14ac:dyDescent="0.25">
      <c r="A87" s="368" t="s">
        <v>28</v>
      </c>
      <c r="B87" s="368" t="s">
        <v>220</v>
      </c>
      <c r="C87" s="372" t="s">
        <v>225</v>
      </c>
      <c r="D87" s="359"/>
      <c r="E87" s="168"/>
      <c r="F87" s="168"/>
      <c r="G87" s="168"/>
      <c r="H87" s="588"/>
      <c r="I87" s="569"/>
      <c r="J87" s="569"/>
      <c r="K87" s="569"/>
      <c r="L87" s="569"/>
      <c r="M87" s="189"/>
      <c r="N87" s="189"/>
      <c r="O87" s="189"/>
      <c r="P87" s="189"/>
      <c r="Q87" s="189"/>
      <c r="R87" s="189"/>
      <c r="S87" s="189"/>
      <c r="T87" s="189"/>
      <c r="U87" s="14">
        <f t="shared" si="3"/>
        <v>0</v>
      </c>
      <c r="V87" s="196">
        <f t="shared" si="4"/>
        <v>0</v>
      </c>
      <c r="W87" s="188"/>
      <c r="X87" s="188"/>
      <c r="Y87" s="188"/>
      <c r="Z87" s="189"/>
      <c r="AA87" s="189"/>
      <c r="AB87" s="189"/>
      <c r="AC87" s="189"/>
    </row>
    <row r="88" spans="1:29" x14ac:dyDescent="0.25">
      <c r="A88" s="368" t="s">
        <v>28</v>
      </c>
      <c r="B88" s="368" t="s">
        <v>220</v>
      </c>
      <c r="C88" s="372" t="s">
        <v>226</v>
      </c>
      <c r="D88" s="359"/>
      <c r="E88" s="168"/>
      <c r="F88" s="168"/>
      <c r="G88" s="168"/>
      <c r="H88" s="588"/>
      <c r="I88" s="569"/>
      <c r="J88" s="569"/>
      <c r="K88" s="569"/>
      <c r="L88" s="569"/>
      <c r="M88" s="189"/>
      <c r="N88" s="189"/>
      <c r="O88" s="189"/>
      <c r="P88" s="189"/>
      <c r="Q88" s="189"/>
      <c r="R88" s="189"/>
      <c r="S88" s="189"/>
      <c r="T88" s="189"/>
      <c r="U88" s="14">
        <f t="shared" si="3"/>
        <v>0</v>
      </c>
      <c r="V88" s="196">
        <f t="shared" si="4"/>
        <v>0</v>
      </c>
      <c r="W88" s="188"/>
      <c r="X88" s="188"/>
      <c r="Y88" s="188"/>
      <c r="Z88" s="189"/>
      <c r="AA88" s="189"/>
      <c r="AB88" s="189"/>
      <c r="AC88" s="189"/>
    </row>
    <row r="89" spans="1:29" x14ac:dyDescent="0.25">
      <c r="A89" s="368" t="s">
        <v>28</v>
      </c>
      <c r="B89" s="368" t="s">
        <v>227</v>
      </c>
      <c r="C89" s="368" t="s">
        <v>228</v>
      </c>
      <c r="D89" s="356"/>
      <c r="E89" s="168"/>
      <c r="F89" s="168"/>
      <c r="G89" s="168"/>
      <c r="H89" s="588"/>
      <c r="I89" s="569"/>
      <c r="J89" s="569"/>
      <c r="K89" s="569"/>
      <c r="L89" s="569"/>
      <c r="M89" s="189"/>
      <c r="N89" s="189"/>
      <c r="O89" s="189"/>
      <c r="P89" s="189"/>
      <c r="Q89" s="189"/>
      <c r="R89" s="189"/>
      <c r="S89" s="189"/>
      <c r="T89" s="189"/>
      <c r="U89" s="14">
        <f t="shared" si="3"/>
        <v>0</v>
      </c>
      <c r="V89" s="196">
        <f t="shared" si="4"/>
        <v>0</v>
      </c>
      <c r="W89" s="188"/>
      <c r="X89" s="188"/>
      <c r="Y89" s="188"/>
      <c r="Z89" s="189"/>
      <c r="AA89" s="189"/>
      <c r="AB89" s="189"/>
      <c r="AC89" s="189"/>
    </row>
    <row r="90" spans="1:29" x14ac:dyDescent="0.25">
      <c r="A90" s="368" t="s">
        <v>28</v>
      </c>
      <c r="B90" s="368" t="s">
        <v>227</v>
      </c>
      <c r="C90" s="368">
        <v>733</v>
      </c>
      <c r="D90" s="356"/>
      <c r="E90" s="168"/>
      <c r="F90" s="168"/>
      <c r="G90" s="168"/>
      <c r="H90" s="588"/>
      <c r="I90" s="569"/>
      <c r="J90" s="569"/>
      <c r="K90" s="569"/>
      <c r="L90" s="569"/>
      <c r="M90" s="189"/>
      <c r="N90" s="189"/>
      <c r="O90" s="189"/>
      <c r="P90" s="189"/>
      <c r="Q90" s="189"/>
      <c r="R90" s="189"/>
      <c r="S90" s="189"/>
      <c r="T90" s="189"/>
      <c r="U90" s="14">
        <f t="shared" si="3"/>
        <v>0</v>
      </c>
      <c r="V90" s="196">
        <f t="shared" si="4"/>
        <v>0</v>
      </c>
      <c r="W90" s="188"/>
      <c r="X90" s="188"/>
      <c r="Y90" s="188"/>
      <c r="Z90" s="189"/>
      <c r="AA90" s="189"/>
      <c r="AB90" s="189"/>
      <c r="AC90" s="189"/>
    </row>
    <row r="91" spans="1:29" x14ac:dyDescent="0.25">
      <c r="A91" s="368" t="s">
        <v>28</v>
      </c>
      <c r="B91" s="368" t="s">
        <v>227</v>
      </c>
      <c r="C91" s="368">
        <v>1030</v>
      </c>
      <c r="D91" s="356"/>
      <c r="E91" s="168"/>
      <c r="F91" s="168"/>
      <c r="G91" s="168"/>
      <c r="H91" s="588"/>
      <c r="I91" s="569"/>
      <c r="J91" s="569"/>
      <c r="K91" s="569"/>
      <c r="L91" s="569"/>
      <c r="M91" s="189"/>
      <c r="N91" s="189"/>
      <c r="O91" s="189"/>
      <c r="P91" s="189"/>
      <c r="Q91" s="189"/>
      <c r="R91" s="189"/>
      <c r="S91" s="189"/>
      <c r="T91" s="189"/>
      <c r="U91" s="14">
        <f t="shared" si="3"/>
        <v>0</v>
      </c>
      <c r="V91" s="196">
        <f t="shared" si="4"/>
        <v>0</v>
      </c>
      <c r="W91" s="188"/>
      <c r="X91" s="188"/>
      <c r="Y91" s="188"/>
      <c r="Z91" s="189"/>
      <c r="AA91" s="189"/>
      <c r="AB91" s="189"/>
      <c r="AC91" s="189"/>
    </row>
    <row r="92" spans="1:29" x14ac:dyDescent="0.25">
      <c r="A92" s="368" t="s">
        <v>28</v>
      </c>
      <c r="B92" s="368" t="s">
        <v>227</v>
      </c>
      <c r="C92" s="368" t="s">
        <v>230</v>
      </c>
      <c r="D92" s="356"/>
      <c r="E92" s="168"/>
      <c r="F92" s="168"/>
      <c r="G92" s="168"/>
      <c r="H92" s="588"/>
      <c r="I92" s="569"/>
      <c r="J92" s="569"/>
      <c r="K92" s="569"/>
      <c r="L92" s="569"/>
      <c r="M92" s="189"/>
      <c r="N92" s="189"/>
      <c r="O92" s="189"/>
      <c r="P92" s="189"/>
      <c r="Q92" s="189"/>
      <c r="R92" s="189"/>
      <c r="S92" s="189"/>
      <c r="T92" s="189"/>
      <c r="U92" s="14">
        <f t="shared" si="3"/>
        <v>0</v>
      </c>
      <c r="V92" s="196">
        <f t="shared" si="4"/>
        <v>0</v>
      </c>
      <c r="W92" s="188"/>
      <c r="X92" s="188"/>
      <c r="Y92" s="188"/>
      <c r="Z92" s="189"/>
      <c r="AA92" s="189"/>
      <c r="AB92" s="189"/>
      <c r="AC92" s="189"/>
    </row>
    <row r="93" spans="1:29" x14ac:dyDescent="0.25">
      <c r="A93" s="368" t="s">
        <v>28</v>
      </c>
      <c r="B93" s="368" t="s">
        <v>227</v>
      </c>
      <c r="C93" s="368" t="s">
        <v>231</v>
      </c>
      <c r="D93" s="356"/>
      <c r="E93" s="168"/>
      <c r="F93" s="168"/>
      <c r="G93" s="168"/>
      <c r="H93" s="588"/>
      <c r="I93" s="569"/>
      <c r="J93" s="569"/>
      <c r="K93" s="569"/>
      <c r="L93" s="569"/>
      <c r="M93" s="189"/>
      <c r="N93" s="189"/>
      <c r="O93" s="189"/>
      <c r="P93" s="189"/>
      <c r="Q93" s="189"/>
      <c r="R93" s="189"/>
      <c r="S93" s="189"/>
      <c r="T93" s="189"/>
      <c r="U93" s="14">
        <f t="shared" si="3"/>
        <v>0</v>
      </c>
      <c r="V93" s="196">
        <f t="shared" si="4"/>
        <v>0</v>
      </c>
      <c r="W93" s="188"/>
      <c r="X93" s="188"/>
      <c r="Y93" s="188"/>
      <c r="Z93" s="189"/>
      <c r="AA93" s="189"/>
      <c r="AB93" s="189"/>
      <c r="AC93" s="189"/>
    </row>
    <row r="94" spans="1:29" x14ac:dyDescent="0.25">
      <c r="A94" s="368" t="s">
        <v>28</v>
      </c>
      <c r="B94" s="368" t="s">
        <v>227</v>
      </c>
      <c r="C94" s="368" t="s">
        <v>232</v>
      </c>
      <c r="D94" s="356"/>
      <c r="E94" s="168"/>
      <c r="F94" s="168"/>
      <c r="G94" s="168"/>
      <c r="H94" s="588"/>
      <c r="I94" s="569"/>
      <c r="J94" s="569"/>
      <c r="K94" s="569"/>
      <c r="L94" s="569"/>
      <c r="M94" s="189"/>
      <c r="N94" s="189"/>
      <c r="O94" s="189"/>
      <c r="P94" s="189"/>
      <c r="Q94" s="189"/>
      <c r="R94" s="189"/>
      <c r="S94" s="189"/>
      <c r="T94" s="189"/>
      <c r="U94" s="14">
        <f t="shared" si="3"/>
        <v>0</v>
      </c>
      <c r="V94" s="196">
        <f t="shared" si="4"/>
        <v>0</v>
      </c>
      <c r="W94" s="188"/>
      <c r="X94" s="188"/>
      <c r="Y94" s="188"/>
      <c r="Z94" s="189"/>
      <c r="AA94" s="189"/>
      <c r="AB94" s="189"/>
      <c r="AC94" s="189"/>
    </row>
    <row r="95" spans="1:29" x14ac:dyDescent="0.25">
      <c r="A95" s="368" t="s">
        <v>28</v>
      </c>
      <c r="B95" s="368" t="s">
        <v>227</v>
      </c>
      <c r="C95" s="368" t="s">
        <v>233</v>
      </c>
      <c r="D95" s="356"/>
      <c r="E95" s="168"/>
      <c r="F95" s="168"/>
      <c r="G95" s="168"/>
      <c r="H95" s="588"/>
      <c r="I95" s="569"/>
      <c r="J95" s="569"/>
      <c r="K95" s="569"/>
      <c r="L95" s="569"/>
      <c r="M95" s="189"/>
      <c r="N95" s="189"/>
      <c r="O95" s="189"/>
      <c r="P95" s="189"/>
      <c r="Q95" s="189"/>
      <c r="R95" s="189"/>
      <c r="S95" s="189"/>
      <c r="T95" s="189"/>
      <c r="U95" s="14">
        <f t="shared" si="3"/>
        <v>0</v>
      </c>
      <c r="V95" s="196">
        <f t="shared" si="4"/>
        <v>0</v>
      </c>
      <c r="W95" s="188"/>
      <c r="X95" s="188"/>
      <c r="Y95" s="188"/>
      <c r="Z95" s="189"/>
      <c r="AA95" s="189"/>
      <c r="AB95" s="189"/>
      <c r="AC95" s="189"/>
    </row>
    <row r="96" spans="1:29" x14ac:dyDescent="0.25">
      <c r="A96" s="368" t="s">
        <v>28</v>
      </c>
      <c r="B96" s="368" t="s">
        <v>227</v>
      </c>
      <c r="C96" s="368" t="s">
        <v>234</v>
      </c>
      <c r="D96" s="356"/>
      <c r="E96" s="168"/>
      <c r="F96" s="168"/>
      <c r="G96" s="168"/>
      <c r="H96" s="588"/>
      <c r="I96" s="569"/>
      <c r="J96" s="569"/>
      <c r="K96" s="569"/>
      <c r="L96" s="569"/>
      <c r="M96" s="189"/>
      <c r="N96" s="189"/>
      <c r="O96" s="189"/>
      <c r="P96" s="189"/>
      <c r="Q96" s="189"/>
      <c r="R96" s="189"/>
      <c r="S96" s="189"/>
      <c r="T96" s="189"/>
      <c r="U96" s="14">
        <f t="shared" si="3"/>
        <v>0</v>
      </c>
      <c r="V96" s="196">
        <f t="shared" si="4"/>
        <v>0</v>
      </c>
      <c r="W96" s="188"/>
      <c r="X96" s="188"/>
      <c r="Y96" s="188"/>
      <c r="Z96" s="189"/>
      <c r="AA96" s="189"/>
      <c r="AB96" s="189"/>
      <c r="AC96" s="189"/>
    </row>
    <row r="97" spans="1:29" x14ac:dyDescent="0.25">
      <c r="A97" s="366" t="s">
        <v>28</v>
      </c>
      <c r="B97" s="377" t="s">
        <v>113</v>
      </c>
      <c r="C97" s="549">
        <v>30.4</v>
      </c>
      <c r="D97" s="361"/>
      <c r="E97" s="186"/>
      <c r="F97" s="186"/>
      <c r="G97" s="186"/>
      <c r="H97" s="588"/>
      <c r="I97" s="569"/>
      <c r="J97" s="569"/>
      <c r="K97" s="569"/>
      <c r="L97" s="569"/>
      <c r="M97" s="189"/>
      <c r="N97" s="189"/>
      <c r="O97" s="189"/>
      <c r="P97" s="189"/>
      <c r="Q97" s="189"/>
      <c r="R97" s="189"/>
      <c r="S97" s="189"/>
      <c r="T97" s="189"/>
      <c r="U97" s="14">
        <f t="shared" si="3"/>
        <v>0</v>
      </c>
      <c r="V97" s="196">
        <f t="shared" si="4"/>
        <v>0</v>
      </c>
      <c r="W97" s="184">
        <v>40</v>
      </c>
      <c r="X97" s="184">
        <v>6</v>
      </c>
      <c r="Y97" s="184">
        <v>4</v>
      </c>
      <c r="Z97" s="189"/>
      <c r="AA97" s="189"/>
      <c r="AB97" s="189"/>
      <c r="AC97" s="189"/>
    </row>
    <row r="98" spans="1:29" x14ac:dyDescent="0.25">
      <c r="A98" s="366" t="s">
        <v>28</v>
      </c>
      <c r="B98" s="377" t="s">
        <v>113</v>
      </c>
      <c r="C98" s="371" t="s">
        <v>183</v>
      </c>
      <c r="D98" s="358"/>
      <c r="E98" s="183"/>
      <c r="F98" s="183"/>
      <c r="G98" s="183"/>
      <c r="H98" s="588"/>
      <c r="I98" s="569"/>
      <c r="J98" s="569"/>
      <c r="K98" s="569"/>
      <c r="L98" s="569"/>
      <c r="M98" s="189"/>
      <c r="N98" s="189"/>
      <c r="O98" s="189"/>
      <c r="P98" s="189"/>
      <c r="Q98" s="189"/>
      <c r="R98" s="189"/>
      <c r="S98" s="189"/>
      <c r="T98" s="189"/>
      <c r="U98" s="14">
        <f t="shared" si="3"/>
        <v>0</v>
      </c>
      <c r="V98" s="196">
        <f t="shared" si="4"/>
        <v>0</v>
      </c>
      <c r="W98" s="184">
        <v>40</v>
      </c>
      <c r="X98" s="184">
        <v>6</v>
      </c>
      <c r="Y98" s="184">
        <v>4</v>
      </c>
      <c r="Z98" s="14"/>
      <c r="AA98" s="189"/>
      <c r="AB98" s="189"/>
      <c r="AC98" s="189"/>
    </row>
    <row r="99" spans="1:29" x14ac:dyDescent="0.25">
      <c r="A99" s="368" t="s">
        <v>28</v>
      </c>
      <c r="B99" s="371" t="s">
        <v>113</v>
      </c>
      <c r="C99" s="371" t="s">
        <v>235</v>
      </c>
      <c r="D99" s="358"/>
      <c r="E99" s="168"/>
      <c r="F99" s="168"/>
      <c r="G99" s="168"/>
      <c r="H99" s="588"/>
      <c r="I99" s="569"/>
      <c r="J99" s="569"/>
      <c r="K99" s="569"/>
      <c r="L99" s="569"/>
      <c r="M99" s="189"/>
      <c r="N99" s="189"/>
      <c r="O99" s="189"/>
      <c r="P99" s="189"/>
      <c r="Q99" s="189"/>
      <c r="R99" s="189"/>
      <c r="S99" s="189"/>
      <c r="T99" s="189"/>
      <c r="U99" s="14">
        <f t="shared" si="3"/>
        <v>0</v>
      </c>
      <c r="V99" s="196">
        <f t="shared" si="4"/>
        <v>0</v>
      </c>
      <c r="W99" s="188"/>
      <c r="X99" s="188"/>
      <c r="Y99" s="188"/>
      <c r="Z99" s="189"/>
      <c r="AA99" s="189"/>
      <c r="AB99" s="189"/>
      <c r="AC99" s="189"/>
    </row>
    <row r="100" spans="1:29" x14ac:dyDescent="0.25">
      <c r="A100" s="368" t="s">
        <v>28</v>
      </c>
      <c r="B100" s="368" t="s">
        <v>236</v>
      </c>
      <c r="C100" s="368" t="s">
        <v>237</v>
      </c>
      <c r="D100" s="356"/>
      <c r="E100" s="168"/>
      <c r="F100" s="168"/>
      <c r="G100" s="168"/>
      <c r="H100" s="588"/>
      <c r="I100" s="569"/>
      <c r="J100" s="569"/>
      <c r="K100" s="569"/>
      <c r="L100" s="569"/>
      <c r="M100" s="189"/>
      <c r="N100" s="189"/>
      <c r="O100" s="189"/>
      <c r="P100" s="189"/>
      <c r="Q100" s="189"/>
      <c r="R100" s="189"/>
      <c r="S100" s="189"/>
      <c r="T100" s="189"/>
      <c r="U100" s="14">
        <f t="shared" si="3"/>
        <v>0</v>
      </c>
      <c r="V100" s="196">
        <f t="shared" si="4"/>
        <v>0</v>
      </c>
      <c r="W100" s="188"/>
      <c r="X100" s="188"/>
      <c r="Y100" s="188"/>
      <c r="Z100" s="189"/>
      <c r="AA100" s="189"/>
      <c r="AB100" s="189"/>
      <c r="AC100" s="189"/>
    </row>
    <row r="101" spans="1:29" x14ac:dyDescent="0.25">
      <c r="A101" s="368" t="s">
        <v>28</v>
      </c>
      <c r="B101" s="368" t="s">
        <v>236</v>
      </c>
      <c r="C101" s="368" t="s">
        <v>238</v>
      </c>
      <c r="D101" s="356"/>
      <c r="E101" s="168"/>
      <c r="F101" s="168"/>
      <c r="G101" s="168"/>
      <c r="H101" s="588"/>
      <c r="I101" s="569"/>
      <c r="J101" s="569"/>
      <c r="K101" s="569"/>
      <c r="L101" s="569"/>
      <c r="M101" s="189"/>
      <c r="N101" s="189"/>
      <c r="O101" s="189"/>
      <c r="P101" s="189"/>
      <c r="Q101" s="189"/>
      <c r="R101" s="189"/>
      <c r="S101" s="189"/>
      <c r="T101" s="189"/>
      <c r="U101" s="14">
        <f t="shared" si="3"/>
        <v>0</v>
      </c>
      <c r="V101" s="196">
        <f t="shared" si="4"/>
        <v>0</v>
      </c>
      <c r="W101" s="188"/>
      <c r="X101" s="188"/>
      <c r="Y101" s="188"/>
      <c r="Z101" s="189"/>
      <c r="AA101" s="189"/>
      <c r="AB101" s="189"/>
      <c r="AC101" s="189"/>
    </row>
    <row r="102" spans="1:29" x14ac:dyDescent="0.25">
      <c r="A102" s="366" t="s">
        <v>28</v>
      </c>
      <c r="B102" s="366" t="s">
        <v>116</v>
      </c>
      <c r="C102" s="371" t="s">
        <v>128</v>
      </c>
      <c r="D102" s="358"/>
      <c r="E102" s="169"/>
      <c r="F102" s="183"/>
      <c r="G102" s="183"/>
      <c r="H102" s="588"/>
      <c r="I102" s="569"/>
      <c r="J102" s="569"/>
      <c r="K102" s="569"/>
      <c r="L102" s="569"/>
      <c r="M102" s="189"/>
      <c r="N102" s="189"/>
      <c r="O102" s="189"/>
      <c r="P102" s="189"/>
      <c r="Q102" s="189"/>
      <c r="R102" s="189"/>
      <c r="S102" s="189"/>
      <c r="T102" s="189"/>
      <c r="U102" s="14">
        <f t="shared" si="3"/>
        <v>0</v>
      </c>
      <c r="V102" s="196">
        <f t="shared" si="4"/>
        <v>0</v>
      </c>
      <c r="W102" s="184">
        <v>21</v>
      </c>
      <c r="X102" s="184">
        <v>8</v>
      </c>
      <c r="Y102" s="184">
        <v>4</v>
      </c>
      <c r="Z102" s="14"/>
      <c r="AA102" s="189"/>
      <c r="AB102" s="712"/>
      <c r="AC102" s="712"/>
    </row>
    <row r="103" spans="1:29" ht="11.25" x14ac:dyDescent="0.25">
      <c r="A103" s="366" t="s">
        <v>28</v>
      </c>
      <c r="B103" s="366" t="s">
        <v>116</v>
      </c>
      <c r="C103" s="373" t="s">
        <v>364</v>
      </c>
      <c r="D103" s="360"/>
      <c r="E103" s="169"/>
      <c r="F103" s="169"/>
      <c r="G103" s="169"/>
      <c r="H103" s="588"/>
      <c r="I103" s="189"/>
      <c r="J103" s="189"/>
      <c r="K103" s="189"/>
      <c r="L103" s="189"/>
      <c r="M103" s="189"/>
      <c r="N103" s="189"/>
      <c r="O103" s="189"/>
      <c r="P103" s="189"/>
      <c r="Q103" s="189"/>
      <c r="R103" s="189"/>
      <c r="S103" s="189"/>
      <c r="T103" s="189"/>
      <c r="U103" s="14">
        <f t="shared" si="3"/>
        <v>0</v>
      </c>
      <c r="V103" s="196">
        <f t="shared" si="4"/>
        <v>0</v>
      </c>
      <c r="W103" s="184">
        <v>20</v>
      </c>
      <c r="X103" s="184">
        <v>8</v>
      </c>
      <c r="Y103" s="184">
        <v>4</v>
      </c>
      <c r="Z103" s="189"/>
      <c r="AA103" s="189"/>
      <c r="AB103" s="189"/>
      <c r="AC103" s="189"/>
    </row>
    <row r="104" spans="1:29" x14ac:dyDescent="0.25">
      <c r="A104" s="366" t="s">
        <v>28</v>
      </c>
      <c r="B104" s="366" t="s">
        <v>116</v>
      </c>
      <c r="C104" s="376" t="s">
        <v>358</v>
      </c>
      <c r="D104" s="362"/>
      <c r="E104" s="203"/>
      <c r="F104" s="187"/>
      <c r="G104" s="187"/>
      <c r="H104" s="588"/>
      <c r="I104" s="569"/>
      <c r="J104" s="569"/>
      <c r="K104" s="569"/>
      <c r="L104" s="569"/>
      <c r="M104" s="189"/>
      <c r="N104" s="189"/>
      <c r="O104" s="189"/>
      <c r="P104" s="189"/>
      <c r="Q104" s="189"/>
      <c r="R104" s="189"/>
      <c r="S104" s="189"/>
      <c r="T104" s="189"/>
      <c r="U104" s="14">
        <f t="shared" si="3"/>
        <v>0</v>
      </c>
      <c r="V104" s="196">
        <f t="shared" si="4"/>
        <v>0</v>
      </c>
      <c r="W104" s="184">
        <v>45</v>
      </c>
      <c r="X104" s="184">
        <v>8</v>
      </c>
      <c r="Y104" s="184">
        <v>4</v>
      </c>
      <c r="Z104" s="189"/>
      <c r="AA104" s="189"/>
      <c r="AB104" s="189"/>
      <c r="AC104" s="189"/>
    </row>
    <row r="105" spans="1:29" x14ac:dyDescent="0.25">
      <c r="A105" s="366" t="s">
        <v>28</v>
      </c>
      <c r="B105" s="366" t="s">
        <v>116</v>
      </c>
      <c r="C105" s="371" t="s">
        <v>361</v>
      </c>
      <c r="D105" s="358"/>
      <c r="E105" s="169"/>
      <c r="F105" s="183"/>
      <c r="G105" s="183"/>
      <c r="H105" s="588"/>
      <c r="I105" s="569"/>
      <c r="J105" s="569"/>
      <c r="K105" s="569"/>
      <c r="L105" s="569"/>
      <c r="M105" s="189"/>
      <c r="N105" s="189"/>
      <c r="O105" s="189"/>
      <c r="P105" s="189"/>
      <c r="Q105" s="189"/>
      <c r="R105" s="189"/>
      <c r="S105" s="189"/>
      <c r="T105" s="189"/>
      <c r="U105" s="14">
        <f t="shared" si="3"/>
        <v>0</v>
      </c>
      <c r="V105" s="196">
        <f t="shared" si="4"/>
        <v>0</v>
      </c>
      <c r="W105" s="184">
        <v>20</v>
      </c>
      <c r="X105" s="184">
        <v>8</v>
      </c>
      <c r="Y105" s="184">
        <v>4</v>
      </c>
      <c r="Z105" s="14"/>
      <c r="AA105" s="189"/>
      <c r="AB105" s="712"/>
      <c r="AC105" s="712"/>
    </row>
    <row r="106" spans="1:29" x14ac:dyDescent="0.25">
      <c r="A106" s="366" t="s">
        <v>28</v>
      </c>
      <c r="B106" s="366" t="s">
        <v>116</v>
      </c>
      <c r="C106" s="367" t="s">
        <v>360</v>
      </c>
      <c r="D106" s="355"/>
      <c r="E106" s="203"/>
      <c r="F106" s="187"/>
      <c r="G106" s="203"/>
      <c r="H106" s="588"/>
      <c r="I106" s="569"/>
      <c r="J106" s="569"/>
      <c r="K106" s="569"/>
      <c r="L106" s="569"/>
      <c r="M106" s="189"/>
      <c r="N106" s="189"/>
      <c r="O106" s="189"/>
      <c r="P106" s="189"/>
      <c r="Q106" s="189"/>
      <c r="R106" s="189"/>
      <c r="S106" s="189"/>
      <c r="T106" s="189"/>
      <c r="U106" s="14">
        <f t="shared" si="3"/>
        <v>0</v>
      </c>
      <c r="V106" s="196">
        <f t="shared" si="4"/>
        <v>0</v>
      </c>
      <c r="W106" s="184">
        <v>21</v>
      </c>
      <c r="X106" s="184">
        <v>8</v>
      </c>
      <c r="Y106" s="184">
        <v>4</v>
      </c>
      <c r="Z106" s="14"/>
      <c r="AA106" s="189"/>
      <c r="AB106" s="189"/>
      <c r="AC106" s="189"/>
    </row>
    <row r="107" spans="1:29" ht="11.25" x14ac:dyDescent="0.25">
      <c r="A107" s="366" t="s">
        <v>28</v>
      </c>
      <c r="B107" s="366" t="s">
        <v>116</v>
      </c>
      <c r="C107" s="371" t="s">
        <v>121</v>
      </c>
      <c r="D107" s="358"/>
      <c r="E107" s="169"/>
      <c r="F107" s="183"/>
      <c r="G107" s="183"/>
      <c r="H107" s="588"/>
      <c r="I107" s="189"/>
      <c r="J107" s="189"/>
      <c r="K107" s="189"/>
      <c r="L107" s="189"/>
      <c r="M107" s="189"/>
      <c r="N107" s="189"/>
      <c r="O107" s="189"/>
      <c r="P107" s="189"/>
      <c r="Q107" s="189"/>
      <c r="R107" s="189"/>
      <c r="S107" s="189"/>
      <c r="T107" s="189"/>
      <c r="U107" s="14">
        <f t="shared" si="3"/>
        <v>0</v>
      </c>
      <c r="V107" s="196">
        <f t="shared" si="4"/>
        <v>0</v>
      </c>
      <c r="W107" s="184">
        <v>20</v>
      </c>
      <c r="X107" s="184">
        <v>8</v>
      </c>
      <c r="Y107" s="184">
        <v>4</v>
      </c>
      <c r="Z107" s="14"/>
      <c r="AA107" s="189"/>
      <c r="AB107" s="189"/>
      <c r="AC107" s="189"/>
    </row>
    <row r="108" spans="1:29" x14ac:dyDescent="0.25">
      <c r="A108" s="377" t="s">
        <v>28</v>
      </c>
      <c r="B108" s="377" t="s">
        <v>126</v>
      </c>
      <c r="C108" s="372" t="s">
        <v>359</v>
      </c>
      <c r="D108" s="360"/>
      <c r="E108" s="169"/>
      <c r="F108" s="183"/>
      <c r="G108" s="183"/>
      <c r="H108" s="588"/>
      <c r="I108" s="569"/>
      <c r="J108" s="569"/>
      <c r="K108" s="569"/>
      <c r="L108" s="569"/>
      <c r="M108" s="189"/>
      <c r="N108" s="189"/>
      <c r="O108" s="189"/>
      <c r="P108" s="189"/>
      <c r="Q108" s="189"/>
      <c r="R108" s="189"/>
      <c r="S108" s="189"/>
      <c r="T108" s="189"/>
      <c r="U108" s="14">
        <f t="shared" si="3"/>
        <v>0</v>
      </c>
      <c r="V108" s="196">
        <f t="shared" si="4"/>
        <v>0</v>
      </c>
      <c r="W108" s="184">
        <v>20</v>
      </c>
      <c r="X108" s="184">
        <v>8</v>
      </c>
      <c r="Y108" s="184">
        <v>4</v>
      </c>
      <c r="Z108" s="14"/>
      <c r="AA108" s="189"/>
      <c r="AB108" s="712"/>
      <c r="AC108" s="712"/>
    </row>
    <row r="109" spans="1:29" x14ac:dyDescent="0.25">
      <c r="A109" s="366" t="s">
        <v>28</v>
      </c>
      <c r="B109" s="366" t="s">
        <v>116</v>
      </c>
      <c r="C109" s="371" t="s">
        <v>363</v>
      </c>
      <c r="D109" s="358"/>
      <c r="E109" s="169"/>
      <c r="F109" s="183"/>
      <c r="G109" s="183"/>
      <c r="H109" s="588"/>
      <c r="I109" s="569"/>
      <c r="J109" s="569"/>
      <c r="K109" s="569"/>
      <c r="L109" s="569"/>
      <c r="M109" s="189"/>
      <c r="N109" s="189"/>
      <c r="O109" s="189"/>
      <c r="P109" s="189"/>
      <c r="Q109" s="189"/>
      <c r="R109" s="189"/>
      <c r="S109" s="189"/>
      <c r="T109" s="189"/>
      <c r="U109" s="14">
        <f t="shared" si="3"/>
        <v>0</v>
      </c>
      <c r="V109" s="196">
        <f t="shared" si="4"/>
        <v>0</v>
      </c>
      <c r="W109" s="184">
        <v>20</v>
      </c>
      <c r="X109" s="184">
        <v>8</v>
      </c>
      <c r="Y109" s="184">
        <v>4</v>
      </c>
      <c r="Z109" s="14"/>
      <c r="AA109" s="189"/>
      <c r="AB109" s="189"/>
      <c r="AC109" s="189"/>
    </row>
    <row r="110" spans="1:29" x14ac:dyDescent="0.25">
      <c r="A110" s="366" t="s">
        <v>28</v>
      </c>
      <c r="B110" s="366" t="s">
        <v>140</v>
      </c>
      <c r="C110" s="371">
        <v>425</v>
      </c>
      <c r="D110" s="358"/>
      <c r="E110" s="169"/>
      <c r="F110" s="183"/>
      <c r="G110" s="169"/>
      <c r="H110" s="588"/>
      <c r="I110" s="569"/>
      <c r="J110" s="569"/>
      <c r="K110" s="569"/>
      <c r="L110" s="569"/>
      <c r="M110" s="189"/>
      <c r="N110" s="189"/>
      <c r="O110" s="189"/>
      <c r="P110" s="189"/>
      <c r="Q110" s="189"/>
      <c r="R110" s="189"/>
      <c r="S110" s="189"/>
      <c r="T110" s="189"/>
      <c r="U110" s="14">
        <f t="shared" si="3"/>
        <v>0</v>
      </c>
      <c r="V110" s="196">
        <f t="shared" si="4"/>
        <v>0</v>
      </c>
      <c r="W110" s="184">
        <v>20</v>
      </c>
      <c r="X110" s="184">
        <v>8</v>
      </c>
      <c r="Y110" s="184">
        <v>4</v>
      </c>
      <c r="Z110" s="189"/>
      <c r="AA110" s="189"/>
      <c r="AB110" s="189"/>
      <c r="AC110" s="189"/>
    </row>
    <row r="111" spans="1:29" ht="16.5" x14ac:dyDescent="0.25">
      <c r="A111" s="368" t="s">
        <v>40</v>
      </c>
      <c r="B111" s="369" t="s">
        <v>118</v>
      </c>
      <c r="C111" s="370" t="s">
        <v>129</v>
      </c>
      <c r="D111" s="357"/>
      <c r="E111" s="168"/>
      <c r="F111" s="168"/>
      <c r="G111" s="168"/>
      <c r="H111" s="588"/>
      <c r="I111" s="569"/>
      <c r="J111" s="569"/>
      <c r="K111" s="569"/>
      <c r="L111" s="569"/>
      <c r="M111" s="189"/>
      <c r="N111" s="189"/>
      <c r="O111" s="189"/>
      <c r="P111" s="189"/>
      <c r="Q111" s="189"/>
      <c r="R111" s="189"/>
      <c r="S111" s="189"/>
      <c r="T111" s="189"/>
      <c r="U111" s="14">
        <f t="shared" si="3"/>
        <v>0</v>
      </c>
      <c r="V111" s="196">
        <f t="shared" si="4"/>
        <v>0</v>
      </c>
      <c r="W111" s="188">
        <v>20</v>
      </c>
      <c r="X111" s="188">
        <v>8</v>
      </c>
      <c r="Y111" s="188">
        <v>4</v>
      </c>
      <c r="Z111" s="184"/>
      <c r="AA111" s="189"/>
      <c r="AB111" s="712"/>
      <c r="AC111" s="712"/>
    </row>
    <row r="112" spans="1:29" ht="16.5" x14ac:dyDescent="0.15">
      <c r="A112" s="368" t="s">
        <v>40</v>
      </c>
      <c r="B112" s="369" t="s">
        <v>118</v>
      </c>
      <c r="C112" s="370" t="s">
        <v>119</v>
      </c>
      <c r="D112" s="357"/>
      <c r="E112" s="168"/>
      <c r="F112" s="168"/>
      <c r="G112" s="168"/>
      <c r="H112" s="588"/>
      <c r="I112" s="189"/>
      <c r="J112" s="189"/>
      <c r="K112" s="189"/>
      <c r="L112" s="189"/>
      <c r="M112" s="189"/>
      <c r="N112" s="189"/>
      <c r="O112" s="189"/>
      <c r="P112" s="189"/>
      <c r="Q112" s="189"/>
      <c r="R112" s="189"/>
      <c r="S112" s="189"/>
      <c r="T112" s="189"/>
      <c r="U112" s="14">
        <f t="shared" si="3"/>
        <v>0</v>
      </c>
      <c r="V112" s="196">
        <f t="shared" si="4"/>
        <v>0</v>
      </c>
      <c r="W112" s="188">
        <v>20</v>
      </c>
      <c r="X112" s="188">
        <v>8</v>
      </c>
      <c r="Y112" s="188">
        <v>4</v>
      </c>
      <c r="Z112" s="14"/>
      <c r="AA112" s="189"/>
      <c r="AB112" s="712"/>
      <c r="AC112" s="712"/>
    </row>
    <row r="113" spans="1:29" ht="18" x14ac:dyDescent="0.25">
      <c r="A113" s="368" t="s">
        <v>40</v>
      </c>
      <c r="B113" s="369" t="s">
        <v>44</v>
      </c>
      <c r="C113" s="370" t="s">
        <v>142</v>
      </c>
      <c r="D113" s="360"/>
      <c r="E113" s="169"/>
      <c r="F113" s="183"/>
      <c r="G113" s="169"/>
      <c r="H113" s="588"/>
      <c r="I113" s="569"/>
      <c r="J113" s="569"/>
      <c r="K113" s="569"/>
      <c r="L113" s="569"/>
      <c r="M113" s="189"/>
      <c r="N113" s="189"/>
      <c r="O113" s="189"/>
      <c r="P113" s="189"/>
      <c r="Q113" s="189"/>
      <c r="R113" s="189"/>
      <c r="S113" s="189"/>
      <c r="T113" s="189"/>
      <c r="U113" s="14">
        <f t="shared" si="3"/>
        <v>0</v>
      </c>
      <c r="V113" s="196">
        <f t="shared" si="4"/>
        <v>0</v>
      </c>
      <c r="W113" s="184"/>
      <c r="X113" s="184"/>
      <c r="Y113" s="184"/>
      <c r="Z113" s="14"/>
      <c r="AA113" s="189"/>
      <c r="AB113" s="189"/>
      <c r="AC113" s="189"/>
    </row>
    <row r="114" spans="1:29" ht="16.5" x14ac:dyDescent="0.25">
      <c r="A114" s="366" t="s">
        <v>40</v>
      </c>
      <c r="B114" s="369" t="s">
        <v>49</v>
      </c>
      <c r="C114" s="373" t="s">
        <v>239</v>
      </c>
      <c r="D114" s="360"/>
      <c r="E114" s="183"/>
      <c r="F114" s="183"/>
      <c r="G114" s="183"/>
      <c r="H114" s="588"/>
      <c r="I114" s="569"/>
      <c r="J114" s="569"/>
      <c r="K114" s="569"/>
      <c r="L114" s="569"/>
      <c r="M114" s="189"/>
      <c r="N114" s="189"/>
      <c r="O114" s="189"/>
      <c r="P114" s="189"/>
      <c r="Q114" s="189"/>
      <c r="R114" s="189"/>
      <c r="S114" s="189"/>
      <c r="T114" s="189"/>
      <c r="U114" s="14">
        <f t="shared" si="3"/>
        <v>0</v>
      </c>
      <c r="V114" s="196">
        <f t="shared" si="4"/>
        <v>0</v>
      </c>
      <c r="W114" s="188"/>
      <c r="X114" s="188"/>
      <c r="Y114" s="188"/>
      <c r="Z114" s="189"/>
      <c r="AA114" s="189"/>
      <c r="AB114" s="189"/>
      <c r="AC114" s="189"/>
    </row>
    <row r="115" spans="1:29" ht="18" x14ac:dyDescent="0.25">
      <c r="A115" s="368" t="s">
        <v>40</v>
      </c>
      <c r="B115" s="369" t="s">
        <v>44</v>
      </c>
      <c r="C115" s="370" t="s">
        <v>240</v>
      </c>
      <c r="D115" s="357"/>
      <c r="E115" s="168"/>
      <c r="F115" s="168"/>
      <c r="G115" s="168"/>
      <c r="H115" s="588"/>
      <c r="I115" s="569"/>
      <c r="J115" s="569"/>
      <c r="K115" s="569"/>
      <c r="L115" s="569"/>
      <c r="M115" s="189"/>
      <c r="N115" s="189"/>
      <c r="O115" s="189"/>
      <c r="P115" s="189"/>
      <c r="Q115" s="189"/>
      <c r="R115" s="189"/>
      <c r="S115" s="189"/>
      <c r="T115" s="189"/>
      <c r="U115" s="14">
        <f t="shared" si="3"/>
        <v>0</v>
      </c>
      <c r="V115" s="196">
        <f t="shared" si="4"/>
        <v>0</v>
      </c>
      <c r="W115" s="188"/>
      <c r="X115" s="188"/>
      <c r="Y115" s="188"/>
      <c r="Z115" s="189"/>
      <c r="AA115" s="189"/>
      <c r="AB115" s="189"/>
      <c r="AC115" s="189"/>
    </row>
    <row r="116" spans="1:29" ht="18" x14ac:dyDescent="0.25">
      <c r="A116" s="368" t="s">
        <v>40</v>
      </c>
      <c r="B116" s="369" t="s">
        <v>44</v>
      </c>
      <c r="C116" s="370" t="s">
        <v>241</v>
      </c>
      <c r="D116" s="357"/>
      <c r="E116" s="168"/>
      <c r="F116" s="168"/>
      <c r="G116" s="168"/>
      <c r="H116" s="588"/>
      <c r="I116" s="569"/>
      <c r="J116" s="569"/>
      <c r="K116" s="569"/>
      <c r="L116" s="569"/>
      <c r="M116" s="189"/>
      <c r="N116" s="189"/>
      <c r="O116" s="189"/>
      <c r="P116" s="189"/>
      <c r="Q116" s="189"/>
      <c r="R116" s="189"/>
      <c r="S116" s="189"/>
      <c r="T116" s="189"/>
      <c r="U116" s="14">
        <f t="shared" si="3"/>
        <v>0</v>
      </c>
      <c r="V116" s="196">
        <f t="shared" si="4"/>
        <v>0</v>
      </c>
      <c r="W116" s="188"/>
      <c r="X116" s="188"/>
      <c r="Y116" s="188"/>
      <c r="Z116" s="189"/>
      <c r="AA116" s="189"/>
      <c r="AB116" s="189"/>
      <c r="AC116" s="189"/>
    </row>
    <row r="117" spans="1:29" ht="18" x14ac:dyDescent="0.25">
      <c r="A117" s="368" t="s">
        <v>40</v>
      </c>
      <c r="B117" s="369" t="s">
        <v>44</v>
      </c>
      <c r="C117" s="370" t="s">
        <v>242</v>
      </c>
      <c r="D117" s="357"/>
      <c r="E117" s="168"/>
      <c r="F117" s="168"/>
      <c r="G117" s="168"/>
      <c r="H117" s="588"/>
      <c r="I117" s="569"/>
      <c r="J117" s="569"/>
      <c r="K117" s="569"/>
      <c r="L117" s="569"/>
      <c r="M117" s="189"/>
      <c r="N117" s="189"/>
      <c r="O117" s="189"/>
      <c r="P117" s="189"/>
      <c r="Q117" s="189"/>
      <c r="R117" s="189"/>
      <c r="S117" s="189"/>
      <c r="T117" s="189"/>
      <c r="U117" s="14">
        <f t="shared" si="3"/>
        <v>0</v>
      </c>
      <c r="V117" s="196">
        <f t="shared" si="4"/>
        <v>0</v>
      </c>
      <c r="W117" s="188"/>
      <c r="X117" s="188"/>
      <c r="Y117" s="188"/>
      <c r="Z117" s="189"/>
      <c r="AA117" s="189"/>
      <c r="AB117" s="189"/>
      <c r="AC117" s="189"/>
    </row>
    <row r="118" spans="1:29" ht="18" x14ac:dyDescent="0.25">
      <c r="A118" s="368" t="s">
        <v>40</v>
      </c>
      <c r="B118" s="369" t="s">
        <v>44</v>
      </c>
      <c r="C118" s="370" t="s">
        <v>243</v>
      </c>
      <c r="D118" s="357"/>
      <c r="E118" s="168"/>
      <c r="F118" s="168"/>
      <c r="G118" s="168"/>
      <c r="H118" s="588"/>
      <c r="I118" s="569"/>
      <c r="J118" s="569"/>
      <c r="K118" s="569"/>
      <c r="L118" s="569"/>
      <c r="M118" s="189"/>
      <c r="N118" s="189"/>
      <c r="O118" s="189"/>
      <c r="P118" s="189"/>
      <c r="Q118" s="189"/>
      <c r="R118" s="189"/>
      <c r="S118" s="189"/>
      <c r="T118" s="189"/>
      <c r="U118" s="14">
        <f t="shared" si="3"/>
        <v>0</v>
      </c>
      <c r="V118" s="196">
        <f t="shared" si="4"/>
        <v>0</v>
      </c>
      <c r="W118" s="188"/>
      <c r="X118" s="188"/>
      <c r="Y118" s="188"/>
      <c r="Z118" s="189"/>
      <c r="AA118" s="189"/>
      <c r="AB118" s="189"/>
      <c r="AC118" s="189"/>
    </row>
    <row r="119" spans="1:29" ht="16.5" x14ac:dyDescent="0.25">
      <c r="A119" s="368" t="s">
        <v>40</v>
      </c>
      <c r="B119" s="369" t="s">
        <v>244</v>
      </c>
      <c r="C119" s="370" t="s">
        <v>245</v>
      </c>
      <c r="D119" s="357"/>
      <c r="E119" s="168"/>
      <c r="F119" s="168"/>
      <c r="G119" s="168"/>
      <c r="H119" s="588"/>
      <c r="I119" s="569"/>
      <c r="J119" s="569"/>
      <c r="K119" s="569"/>
      <c r="L119" s="569"/>
      <c r="M119" s="189"/>
      <c r="N119" s="189"/>
      <c r="O119" s="189"/>
      <c r="P119" s="189"/>
      <c r="Q119" s="189"/>
      <c r="R119" s="189"/>
      <c r="S119" s="189"/>
      <c r="T119" s="189"/>
      <c r="U119" s="14">
        <f t="shared" si="3"/>
        <v>0</v>
      </c>
      <c r="V119" s="196">
        <f t="shared" si="4"/>
        <v>0</v>
      </c>
      <c r="W119" s="188"/>
      <c r="X119" s="188"/>
      <c r="Y119" s="188"/>
      <c r="Z119" s="189"/>
      <c r="AA119" s="189"/>
      <c r="AB119" s="189"/>
      <c r="AC119" s="189"/>
    </row>
    <row r="120" spans="1:29" ht="16.5" x14ac:dyDescent="0.25">
      <c r="A120" s="368" t="s">
        <v>40</v>
      </c>
      <c r="B120" s="369" t="s">
        <v>118</v>
      </c>
      <c r="C120" s="370" t="s">
        <v>354</v>
      </c>
      <c r="D120" s="357"/>
      <c r="E120" s="168"/>
      <c r="F120" s="168"/>
      <c r="G120" s="168"/>
      <c r="H120" s="588"/>
      <c r="I120" s="569"/>
      <c r="J120" s="569"/>
      <c r="K120" s="569"/>
      <c r="L120" s="569"/>
      <c r="M120" s="189"/>
      <c r="N120" s="189"/>
      <c r="O120" s="189"/>
      <c r="P120" s="189"/>
      <c r="Q120" s="189"/>
      <c r="R120" s="189"/>
      <c r="S120" s="189"/>
      <c r="T120" s="189"/>
      <c r="U120" s="14">
        <f t="shared" si="3"/>
        <v>0</v>
      </c>
      <c r="V120" s="196">
        <f t="shared" si="4"/>
        <v>0</v>
      </c>
      <c r="W120" s="188">
        <v>20</v>
      </c>
      <c r="X120" s="188">
        <v>8</v>
      </c>
      <c r="Y120" s="188">
        <v>4</v>
      </c>
      <c r="Z120" s="184"/>
      <c r="AA120" s="189"/>
      <c r="AB120" s="712"/>
      <c r="AC120" s="712"/>
    </row>
    <row r="121" spans="1:29" ht="16.5" x14ac:dyDescent="0.15">
      <c r="A121" s="368" t="s">
        <v>40</v>
      </c>
      <c r="B121" s="369" t="s">
        <v>49</v>
      </c>
      <c r="C121" s="370" t="s">
        <v>48</v>
      </c>
      <c r="D121" s="357"/>
      <c r="E121" s="168"/>
      <c r="F121" s="168"/>
      <c r="G121" s="168"/>
      <c r="H121" s="588"/>
      <c r="I121" s="189"/>
      <c r="J121" s="189"/>
      <c r="K121" s="189"/>
      <c r="L121" s="189"/>
      <c r="M121" s="189"/>
      <c r="N121" s="189"/>
      <c r="O121" s="189"/>
      <c r="P121" s="189"/>
      <c r="Q121" s="189"/>
      <c r="R121" s="189"/>
      <c r="S121" s="189"/>
      <c r="T121" s="189"/>
      <c r="U121" s="14">
        <f t="shared" si="3"/>
        <v>0</v>
      </c>
      <c r="V121" s="196">
        <f t="shared" si="4"/>
        <v>0</v>
      </c>
      <c r="W121" s="188">
        <v>12</v>
      </c>
      <c r="X121" s="188">
        <v>8</v>
      </c>
      <c r="Y121" s="188">
        <v>4</v>
      </c>
      <c r="Z121" s="14"/>
      <c r="AA121" s="189"/>
      <c r="AB121" s="712"/>
      <c r="AC121" s="712"/>
    </row>
    <row r="122" spans="1:29" ht="16.5" x14ac:dyDescent="0.25">
      <c r="A122" s="368" t="s">
        <v>40</v>
      </c>
      <c r="B122" s="369" t="s">
        <v>49</v>
      </c>
      <c r="C122" s="370" t="s">
        <v>362</v>
      </c>
      <c r="D122" s="357"/>
      <c r="E122" s="168"/>
      <c r="F122" s="168"/>
      <c r="G122" s="168"/>
      <c r="H122" s="588"/>
      <c r="I122" s="569"/>
      <c r="J122" s="569"/>
      <c r="K122" s="569"/>
      <c r="L122" s="569"/>
      <c r="M122" s="189"/>
      <c r="N122" s="189"/>
      <c r="O122" s="189"/>
      <c r="P122" s="189"/>
      <c r="Q122" s="189"/>
      <c r="R122" s="189"/>
      <c r="S122" s="189"/>
      <c r="T122" s="189"/>
      <c r="U122" s="14">
        <f t="shared" si="3"/>
        <v>0</v>
      </c>
      <c r="V122" s="196">
        <f t="shared" si="4"/>
        <v>0</v>
      </c>
      <c r="W122" s="188">
        <v>12</v>
      </c>
      <c r="X122" s="188">
        <v>8</v>
      </c>
      <c r="Y122" s="188">
        <v>4</v>
      </c>
      <c r="Z122" s="14"/>
      <c r="AA122" s="189"/>
      <c r="AB122" s="712"/>
      <c r="AC122" s="712"/>
    </row>
    <row r="123" spans="1:29" x14ac:dyDescent="0.25">
      <c r="A123" s="368" t="s">
        <v>38</v>
      </c>
      <c r="B123" s="368" t="s">
        <v>95</v>
      </c>
      <c r="C123" s="372" t="s">
        <v>147</v>
      </c>
      <c r="D123" s="359" t="s">
        <v>139</v>
      </c>
      <c r="E123" s="168"/>
      <c r="F123" s="168"/>
      <c r="G123" s="168"/>
      <c r="H123" s="588"/>
      <c r="I123" s="569"/>
      <c r="J123" s="569"/>
      <c r="K123" s="569"/>
      <c r="L123" s="569"/>
      <c r="M123" s="189"/>
      <c r="N123" s="189"/>
      <c r="O123" s="189"/>
      <c r="P123" s="189"/>
      <c r="Q123" s="189"/>
      <c r="R123" s="189"/>
      <c r="S123" s="189"/>
      <c r="T123" s="189"/>
      <c r="U123" s="14">
        <f t="shared" si="3"/>
        <v>0</v>
      </c>
      <c r="V123" s="196">
        <f t="shared" si="4"/>
        <v>0</v>
      </c>
      <c r="W123" s="188">
        <v>12</v>
      </c>
      <c r="X123" s="188">
        <v>6</v>
      </c>
      <c r="Y123" s="188">
        <v>4</v>
      </c>
      <c r="Z123" s="14"/>
      <c r="AA123" s="189"/>
      <c r="AB123" s="712"/>
      <c r="AC123" s="712"/>
    </row>
    <row r="124" spans="1:29" x14ac:dyDescent="0.25">
      <c r="A124" s="368" t="s">
        <v>38</v>
      </c>
      <c r="B124" s="368" t="s">
        <v>348</v>
      </c>
      <c r="C124" s="372" t="s">
        <v>349</v>
      </c>
      <c r="D124" s="359" t="s">
        <v>139</v>
      </c>
      <c r="E124" s="168"/>
      <c r="F124" s="168"/>
      <c r="G124" s="168"/>
      <c r="H124" s="588"/>
      <c r="I124" s="569"/>
      <c r="J124" s="569"/>
      <c r="K124" s="569"/>
      <c r="L124" s="569"/>
      <c r="M124" s="189"/>
      <c r="N124" s="189"/>
      <c r="O124" s="189"/>
      <c r="P124" s="189"/>
      <c r="Q124" s="189"/>
      <c r="R124" s="189"/>
      <c r="S124" s="189"/>
      <c r="T124" s="189"/>
      <c r="U124" s="14">
        <f t="shared" si="3"/>
        <v>0</v>
      </c>
      <c r="V124" s="196">
        <f t="shared" si="4"/>
        <v>0</v>
      </c>
      <c r="W124" s="188">
        <v>12</v>
      </c>
      <c r="X124" s="188">
        <v>6</v>
      </c>
      <c r="Y124" s="188">
        <v>4</v>
      </c>
      <c r="Z124" s="14"/>
      <c r="AA124" s="189"/>
      <c r="AB124" s="712"/>
      <c r="AC124" s="712"/>
    </row>
    <row r="125" spans="1:29" x14ac:dyDescent="0.25">
      <c r="A125" s="368" t="s">
        <v>38</v>
      </c>
      <c r="B125" s="368" t="s">
        <v>346</v>
      </c>
      <c r="C125" s="372" t="s">
        <v>347</v>
      </c>
      <c r="D125" s="359" t="s">
        <v>150</v>
      </c>
      <c r="E125" s="168"/>
      <c r="F125" s="168"/>
      <c r="G125" s="168"/>
      <c r="H125" s="588"/>
      <c r="I125" s="569"/>
      <c r="J125" s="569"/>
      <c r="K125" s="569"/>
      <c r="L125" s="569"/>
      <c r="M125" s="189"/>
      <c r="N125" s="189"/>
      <c r="O125" s="189"/>
      <c r="P125" s="189"/>
      <c r="Q125" s="189"/>
      <c r="R125" s="189"/>
      <c r="S125" s="189"/>
      <c r="T125" s="189"/>
      <c r="U125" s="14">
        <f t="shared" si="3"/>
        <v>0</v>
      </c>
      <c r="V125" s="196">
        <f t="shared" si="4"/>
        <v>0</v>
      </c>
      <c r="W125" s="188">
        <v>12</v>
      </c>
      <c r="X125" s="188">
        <v>6</v>
      </c>
      <c r="Y125" s="188">
        <v>4</v>
      </c>
      <c r="Z125" s="14"/>
      <c r="AA125" s="189"/>
      <c r="AB125" s="712"/>
      <c r="AC125" s="712"/>
    </row>
    <row r="126" spans="1:29" ht="16.5" x14ac:dyDescent="0.25">
      <c r="A126" s="368" t="s">
        <v>38</v>
      </c>
      <c r="B126" s="368" t="s">
        <v>296</v>
      </c>
      <c r="C126" s="372" t="s">
        <v>295</v>
      </c>
      <c r="D126" s="359" t="s">
        <v>252</v>
      </c>
      <c r="E126" s="168"/>
      <c r="F126" s="168"/>
      <c r="G126" s="168"/>
      <c r="H126" s="588"/>
      <c r="I126" s="569"/>
      <c r="J126" s="569"/>
      <c r="K126" s="569"/>
      <c r="L126" s="569"/>
      <c r="M126" s="189"/>
      <c r="N126" s="189"/>
      <c r="O126" s="189"/>
      <c r="P126" s="189"/>
      <c r="Q126" s="189"/>
      <c r="R126" s="189"/>
      <c r="S126" s="189"/>
      <c r="T126" s="189"/>
      <c r="U126" s="14">
        <f t="shared" si="3"/>
        <v>0</v>
      </c>
      <c r="V126" s="196">
        <f t="shared" si="4"/>
        <v>0</v>
      </c>
      <c r="W126" s="188">
        <v>12</v>
      </c>
      <c r="X126" s="188">
        <v>6</v>
      </c>
      <c r="Y126" s="188">
        <v>4</v>
      </c>
      <c r="Z126" s="14"/>
      <c r="AA126" s="189"/>
      <c r="AB126" s="712"/>
      <c r="AC126" s="712"/>
    </row>
    <row r="127" spans="1:29" x14ac:dyDescent="0.25">
      <c r="A127" s="368" t="s">
        <v>38</v>
      </c>
      <c r="B127" s="368" t="s">
        <v>135</v>
      </c>
      <c r="C127" s="372" t="s">
        <v>136</v>
      </c>
      <c r="D127" s="359" t="s">
        <v>137</v>
      </c>
      <c r="E127" s="168"/>
      <c r="F127" s="168"/>
      <c r="G127" s="168"/>
      <c r="H127" s="588"/>
      <c r="I127" s="569"/>
      <c r="J127" s="569"/>
      <c r="K127" s="569"/>
      <c r="L127" s="569"/>
      <c r="M127" s="189"/>
      <c r="N127" s="189"/>
      <c r="O127" s="189"/>
      <c r="P127" s="189"/>
      <c r="Q127" s="189"/>
      <c r="R127" s="189"/>
      <c r="S127" s="189"/>
      <c r="T127" s="189"/>
      <c r="U127" s="14">
        <f t="shared" si="3"/>
        <v>0</v>
      </c>
      <c r="V127" s="196">
        <f t="shared" si="4"/>
        <v>0</v>
      </c>
      <c r="W127" s="188">
        <v>12</v>
      </c>
      <c r="X127" s="188">
        <v>6</v>
      </c>
      <c r="Y127" s="188">
        <v>4</v>
      </c>
      <c r="Z127" s="189"/>
      <c r="AA127" s="189"/>
      <c r="AB127" s="189"/>
      <c r="AC127" s="189"/>
    </row>
    <row r="128" spans="1:29" x14ac:dyDescent="0.25">
      <c r="A128" s="368" t="s">
        <v>38</v>
      </c>
      <c r="B128" s="368" t="s">
        <v>155</v>
      </c>
      <c r="C128" s="372" t="s">
        <v>156</v>
      </c>
      <c r="D128" s="359" t="s">
        <v>139</v>
      </c>
      <c r="E128" s="168"/>
      <c r="F128" s="168"/>
      <c r="G128" s="168"/>
      <c r="H128" s="588"/>
      <c r="I128" s="569"/>
      <c r="J128" s="569"/>
      <c r="K128" s="569"/>
      <c r="L128" s="569"/>
      <c r="M128" s="189"/>
      <c r="N128" s="189"/>
      <c r="O128" s="189"/>
      <c r="P128" s="189"/>
      <c r="Q128" s="189"/>
      <c r="R128" s="189"/>
      <c r="S128" s="189"/>
      <c r="T128" s="189"/>
      <c r="U128" s="14">
        <f t="shared" si="3"/>
        <v>0</v>
      </c>
      <c r="V128" s="196">
        <f t="shared" si="4"/>
        <v>0</v>
      </c>
      <c r="W128" s="188">
        <v>12</v>
      </c>
      <c r="X128" s="188">
        <v>6</v>
      </c>
      <c r="Y128" s="188">
        <v>4</v>
      </c>
      <c r="Z128" s="189"/>
      <c r="AA128" s="189"/>
      <c r="AB128" s="189"/>
      <c r="AC128" s="189"/>
    </row>
    <row r="129" spans="1:29" x14ac:dyDescent="0.25">
      <c r="A129" s="368" t="s">
        <v>38</v>
      </c>
      <c r="B129" s="368" t="s">
        <v>80</v>
      </c>
      <c r="C129" s="372" t="s">
        <v>151</v>
      </c>
      <c r="D129" s="359" t="s">
        <v>152</v>
      </c>
      <c r="E129" s="168"/>
      <c r="F129" s="168"/>
      <c r="G129" s="168"/>
      <c r="H129" s="588"/>
      <c r="I129" s="569"/>
      <c r="J129" s="569"/>
      <c r="K129" s="569"/>
      <c r="L129" s="569"/>
      <c r="M129" s="189"/>
      <c r="N129" s="189"/>
      <c r="O129" s="189"/>
      <c r="P129" s="189"/>
      <c r="Q129" s="189"/>
      <c r="R129" s="189"/>
      <c r="S129" s="189"/>
      <c r="T129" s="189"/>
      <c r="U129" s="14">
        <f t="shared" si="3"/>
        <v>0</v>
      </c>
      <c r="V129" s="196">
        <f t="shared" si="4"/>
        <v>0</v>
      </c>
      <c r="W129" s="188">
        <v>12</v>
      </c>
      <c r="X129" s="188">
        <v>6</v>
      </c>
      <c r="Y129" s="188">
        <v>4</v>
      </c>
      <c r="Z129" s="189"/>
      <c r="AA129" s="189"/>
      <c r="AB129" s="189"/>
      <c r="AC129" s="189"/>
    </row>
    <row r="130" spans="1:29" x14ac:dyDescent="0.25">
      <c r="A130" s="368" t="s">
        <v>38</v>
      </c>
      <c r="B130" s="368" t="s">
        <v>148</v>
      </c>
      <c r="C130" s="372" t="s">
        <v>147</v>
      </c>
      <c r="D130" s="359" t="s">
        <v>137</v>
      </c>
      <c r="E130" s="168"/>
      <c r="F130" s="168"/>
      <c r="G130" s="168"/>
      <c r="H130" s="588"/>
      <c r="I130" s="569"/>
      <c r="J130" s="569"/>
      <c r="K130" s="569"/>
      <c r="L130" s="569"/>
      <c r="M130" s="189"/>
      <c r="N130" s="189"/>
      <c r="O130" s="189"/>
      <c r="P130" s="189"/>
      <c r="Q130" s="189"/>
      <c r="R130" s="189"/>
      <c r="S130" s="189"/>
      <c r="T130" s="189"/>
      <c r="U130" s="14">
        <f t="shared" si="3"/>
        <v>0</v>
      </c>
      <c r="V130" s="196">
        <f t="shared" si="4"/>
        <v>0</v>
      </c>
      <c r="W130" s="188">
        <v>12</v>
      </c>
      <c r="X130" s="188">
        <v>6</v>
      </c>
      <c r="Y130" s="188">
        <v>4</v>
      </c>
      <c r="Z130" s="189"/>
      <c r="AA130" s="189"/>
      <c r="AB130" s="189"/>
      <c r="AC130" s="189"/>
    </row>
    <row r="131" spans="1:29" x14ac:dyDescent="0.25">
      <c r="A131" s="368" t="s">
        <v>38</v>
      </c>
      <c r="B131" s="368" t="s">
        <v>47</v>
      </c>
      <c r="C131" s="372" t="s">
        <v>147</v>
      </c>
      <c r="D131" s="359" t="s">
        <v>146</v>
      </c>
      <c r="E131" s="168"/>
      <c r="F131" s="168"/>
      <c r="G131" s="168"/>
      <c r="H131" s="588"/>
      <c r="I131" s="569"/>
      <c r="J131" s="569"/>
      <c r="K131" s="569"/>
      <c r="L131" s="569"/>
      <c r="M131" s="189"/>
      <c r="N131" s="189"/>
      <c r="O131" s="189"/>
      <c r="P131" s="189"/>
      <c r="Q131" s="189"/>
      <c r="R131" s="189"/>
      <c r="S131" s="189"/>
      <c r="T131" s="189"/>
      <c r="U131" s="14">
        <f t="shared" si="3"/>
        <v>0</v>
      </c>
      <c r="V131" s="196">
        <f t="shared" si="4"/>
        <v>0</v>
      </c>
      <c r="W131" s="188">
        <v>12</v>
      </c>
      <c r="X131" s="188">
        <v>6</v>
      </c>
      <c r="Y131" s="188">
        <v>4</v>
      </c>
      <c r="Z131" s="189"/>
      <c r="AA131" s="189"/>
      <c r="AB131" s="189"/>
      <c r="AC131" s="189"/>
    </row>
    <row r="132" spans="1:29" ht="16.5" x14ac:dyDescent="0.25">
      <c r="A132" s="368" t="s">
        <v>38</v>
      </c>
      <c r="B132" s="368" t="s">
        <v>77</v>
      </c>
      <c r="C132" s="372" t="s">
        <v>295</v>
      </c>
      <c r="D132" s="359" t="s">
        <v>146</v>
      </c>
      <c r="E132" s="168"/>
      <c r="F132" s="168"/>
      <c r="G132" s="168"/>
      <c r="H132" s="588"/>
      <c r="I132" s="569"/>
      <c r="J132" s="569"/>
      <c r="K132" s="569"/>
      <c r="L132" s="569"/>
      <c r="M132" s="189"/>
      <c r="N132" s="189"/>
      <c r="O132" s="189"/>
      <c r="P132" s="189"/>
      <c r="Q132" s="189"/>
      <c r="R132" s="189"/>
      <c r="S132" s="189"/>
      <c r="T132" s="189"/>
      <c r="U132" s="14">
        <f t="shared" ref="U132:U195" si="5">SUM(I132:T132)</f>
        <v>0</v>
      </c>
      <c r="V132" s="196">
        <f t="shared" ref="V132:V195" si="6">IF(X132=0,0,(U132/52*(W132+X132+Y132))-E132-F132+G132)</f>
        <v>0</v>
      </c>
      <c r="W132" s="188">
        <v>12</v>
      </c>
      <c r="X132" s="188">
        <v>6</v>
      </c>
      <c r="Y132" s="188">
        <v>4</v>
      </c>
      <c r="Z132" s="189"/>
      <c r="AA132" s="189"/>
      <c r="AB132" s="189"/>
      <c r="AC132" s="189"/>
    </row>
    <row r="133" spans="1:29" ht="16.5" x14ac:dyDescent="0.25">
      <c r="A133" s="368" t="s">
        <v>38</v>
      </c>
      <c r="B133" s="368" t="s">
        <v>153</v>
      </c>
      <c r="C133" s="372" t="s">
        <v>154</v>
      </c>
      <c r="D133" s="359" t="s">
        <v>150</v>
      </c>
      <c r="E133" s="168"/>
      <c r="F133" s="168"/>
      <c r="G133" s="168"/>
      <c r="H133" s="588"/>
      <c r="I133" s="569"/>
      <c r="J133" s="569"/>
      <c r="K133" s="569"/>
      <c r="L133" s="569"/>
      <c r="M133" s="189"/>
      <c r="N133" s="189"/>
      <c r="O133" s="189"/>
      <c r="P133" s="189"/>
      <c r="Q133" s="189"/>
      <c r="R133" s="189"/>
      <c r="S133" s="189"/>
      <c r="T133" s="189"/>
      <c r="U133" s="14">
        <f t="shared" si="5"/>
        <v>0</v>
      </c>
      <c r="V133" s="196">
        <f t="shared" si="6"/>
        <v>0</v>
      </c>
      <c r="W133" s="188">
        <v>12</v>
      </c>
      <c r="X133" s="188">
        <v>6</v>
      </c>
      <c r="Y133" s="188">
        <v>4</v>
      </c>
      <c r="Z133" s="189"/>
      <c r="AA133" s="189"/>
      <c r="AB133" s="189"/>
      <c r="AC133" s="189"/>
    </row>
    <row r="134" spans="1:29" ht="11.25" x14ac:dyDescent="0.25">
      <c r="A134" s="368" t="s">
        <v>38</v>
      </c>
      <c r="B134" s="368" t="s">
        <v>149</v>
      </c>
      <c r="C134" s="372" t="s">
        <v>136</v>
      </c>
      <c r="D134" s="359" t="s">
        <v>150</v>
      </c>
      <c r="E134" s="168"/>
      <c r="F134" s="168"/>
      <c r="G134" s="168"/>
      <c r="H134" s="588"/>
      <c r="I134" s="189"/>
      <c r="J134" s="189"/>
      <c r="K134" s="189"/>
      <c r="L134" s="189"/>
      <c r="M134" s="189"/>
      <c r="N134" s="189"/>
      <c r="O134" s="189"/>
      <c r="P134" s="189"/>
      <c r="Q134" s="189"/>
      <c r="R134" s="189"/>
      <c r="S134" s="189"/>
      <c r="T134" s="189"/>
      <c r="U134" s="14">
        <f t="shared" si="5"/>
        <v>0</v>
      </c>
      <c r="V134" s="196">
        <f t="shared" si="6"/>
        <v>0</v>
      </c>
      <c r="W134" s="188">
        <v>12</v>
      </c>
      <c r="X134" s="188">
        <v>6</v>
      </c>
      <c r="Y134" s="188">
        <v>4</v>
      </c>
      <c r="Z134" s="189"/>
      <c r="AA134" s="189"/>
      <c r="AB134" s="189"/>
      <c r="AC134" s="189"/>
    </row>
    <row r="135" spans="1:29" x14ac:dyDescent="0.25">
      <c r="A135" s="368" t="s">
        <v>38</v>
      </c>
      <c r="B135" s="368" t="s">
        <v>94</v>
      </c>
      <c r="C135" s="372" t="s">
        <v>138</v>
      </c>
      <c r="D135" s="359" t="s">
        <v>139</v>
      </c>
      <c r="E135" s="168"/>
      <c r="F135" s="168"/>
      <c r="G135" s="168"/>
      <c r="H135" s="588"/>
      <c r="I135" s="569"/>
      <c r="J135" s="569"/>
      <c r="K135" s="569"/>
      <c r="L135" s="569"/>
      <c r="M135" s="189"/>
      <c r="N135" s="189"/>
      <c r="O135" s="189"/>
      <c r="P135" s="189"/>
      <c r="Q135" s="189"/>
      <c r="R135" s="189"/>
      <c r="S135" s="189"/>
      <c r="T135" s="189"/>
      <c r="U135" s="14">
        <f t="shared" si="5"/>
        <v>0</v>
      </c>
      <c r="V135" s="196">
        <f t="shared" si="6"/>
        <v>0</v>
      </c>
      <c r="W135" s="188">
        <v>12</v>
      </c>
      <c r="X135" s="188">
        <v>6</v>
      </c>
      <c r="Y135" s="188">
        <v>4</v>
      </c>
      <c r="Z135" s="189"/>
      <c r="AA135" s="189"/>
      <c r="AB135" s="189"/>
      <c r="AC135" s="189"/>
    </row>
    <row r="136" spans="1:29" x14ac:dyDescent="0.25">
      <c r="A136" s="368" t="s">
        <v>38</v>
      </c>
      <c r="B136" s="368" t="s">
        <v>308</v>
      </c>
      <c r="C136" s="372" t="s">
        <v>138</v>
      </c>
      <c r="D136" s="359" t="s">
        <v>139</v>
      </c>
      <c r="E136" s="168"/>
      <c r="F136" s="168"/>
      <c r="G136" s="168"/>
      <c r="H136" s="588"/>
      <c r="I136" s="569"/>
      <c r="J136" s="569"/>
      <c r="K136" s="569"/>
      <c r="L136" s="569"/>
      <c r="M136" s="189"/>
      <c r="N136" s="189"/>
      <c r="O136" s="189"/>
      <c r="P136" s="189"/>
      <c r="Q136" s="189"/>
      <c r="R136" s="189"/>
      <c r="S136" s="189"/>
      <c r="T136" s="189"/>
      <c r="U136" s="14">
        <f t="shared" si="5"/>
        <v>0</v>
      </c>
      <c r="V136" s="196">
        <f t="shared" si="6"/>
        <v>0</v>
      </c>
      <c r="W136" s="188">
        <v>12</v>
      </c>
      <c r="X136" s="188">
        <v>6</v>
      </c>
      <c r="Y136" s="188">
        <v>4</v>
      </c>
      <c r="Z136" s="189"/>
      <c r="AA136" s="189"/>
      <c r="AB136" s="189"/>
      <c r="AC136" s="189"/>
    </row>
    <row r="137" spans="1:29" x14ac:dyDescent="0.25">
      <c r="A137" s="368" t="s">
        <v>38</v>
      </c>
      <c r="B137" s="368" t="s">
        <v>144</v>
      </c>
      <c r="C137" s="372" t="s">
        <v>145</v>
      </c>
      <c r="D137" s="359" t="s">
        <v>146</v>
      </c>
      <c r="E137" s="168"/>
      <c r="F137" s="168"/>
      <c r="G137" s="168"/>
      <c r="H137" s="588"/>
      <c r="I137" s="569"/>
      <c r="J137" s="569"/>
      <c r="K137" s="569"/>
      <c r="L137" s="569"/>
      <c r="M137" s="189"/>
      <c r="N137" s="189"/>
      <c r="O137" s="189"/>
      <c r="P137" s="189"/>
      <c r="Q137" s="189"/>
      <c r="R137" s="189"/>
      <c r="S137" s="189"/>
      <c r="T137" s="189"/>
      <c r="U137" s="14">
        <f t="shared" si="5"/>
        <v>0</v>
      </c>
      <c r="V137" s="196">
        <f t="shared" si="6"/>
        <v>0</v>
      </c>
      <c r="W137" s="188">
        <v>12</v>
      </c>
      <c r="X137" s="188">
        <v>6</v>
      </c>
      <c r="Y137" s="188">
        <v>4</v>
      </c>
      <c r="Z137" s="189"/>
      <c r="AA137" s="189"/>
      <c r="AB137" s="189"/>
      <c r="AC137" s="189"/>
    </row>
    <row r="138" spans="1:29" x14ac:dyDescent="0.25">
      <c r="A138" s="368" t="s">
        <v>38</v>
      </c>
      <c r="B138" s="368" t="s">
        <v>78</v>
      </c>
      <c r="C138" s="372" t="s">
        <v>147</v>
      </c>
      <c r="D138" s="359" t="s">
        <v>146</v>
      </c>
      <c r="E138" s="168"/>
      <c r="F138" s="168"/>
      <c r="G138" s="168"/>
      <c r="H138" s="588"/>
      <c r="I138" s="569"/>
      <c r="J138" s="569"/>
      <c r="K138" s="569"/>
      <c r="L138" s="569"/>
      <c r="M138" s="189"/>
      <c r="N138" s="189"/>
      <c r="O138" s="189"/>
      <c r="P138" s="189"/>
      <c r="Q138" s="189"/>
      <c r="R138" s="189"/>
      <c r="S138" s="189"/>
      <c r="T138" s="189"/>
      <c r="U138" s="14">
        <f t="shared" si="5"/>
        <v>0</v>
      </c>
      <c r="V138" s="196">
        <f t="shared" si="6"/>
        <v>0</v>
      </c>
      <c r="W138" s="188">
        <v>12</v>
      </c>
      <c r="X138" s="188">
        <v>6</v>
      </c>
      <c r="Y138" s="188">
        <v>4</v>
      </c>
      <c r="Z138" s="189"/>
      <c r="AA138" s="189"/>
      <c r="AB138" s="189"/>
      <c r="AC138" s="189"/>
    </row>
    <row r="139" spans="1:29" ht="11.25" x14ac:dyDescent="0.25">
      <c r="A139" s="368" t="s">
        <v>38</v>
      </c>
      <c r="B139" s="368" t="s">
        <v>50</v>
      </c>
      <c r="C139" s="372" t="s">
        <v>131</v>
      </c>
      <c r="D139" s="359" t="s">
        <v>132</v>
      </c>
      <c r="E139" s="168"/>
      <c r="F139" s="168"/>
      <c r="G139" s="168"/>
      <c r="H139" s="588"/>
      <c r="I139" s="189"/>
      <c r="J139" s="189"/>
      <c r="K139" s="189"/>
      <c r="L139" s="189"/>
      <c r="M139" s="189"/>
      <c r="N139" s="189"/>
      <c r="O139" s="189"/>
      <c r="P139" s="189"/>
      <c r="Q139" s="189"/>
      <c r="R139" s="189"/>
      <c r="S139" s="189"/>
      <c r="T139" s="189"/>
      <c r="U139" s="14">
        <f t="shared" si="5"/>
        <v>0</v>
      </c>
      <c r="V139" s="196">
        <f t="shared" si="6"/>
        <v>0</v>
      </c>
      <c r="W139" s="188">
        <v>12</v>
      </c>
      <c r="X139" s="188">
        <v>6</v>
      </c>
      <c r="Y139" s="188">
        <v>4</v>
      </c>
      <c r="Z139" s="189"/>
      <c r="AA139" s="189"/>
      <c r="AB139" s="189"/>
      <c r="AC139" s="189"/>
    </row>
    <row r="140" spans="1:29" x14ac:dyDescent="0.25">
      <c r="A140" s="368" t="s">
        <v>38</v>
      </c>
      <c r="B140" s="368" t="s">
        <v>133</v>
      </c>
      <c r="C140" s="372" t="s">
        <v>134</v>
      </c>
      <c r="D140" s="359" t="s">
        <v>132</v>
      </c>
      <c r="E140" s="168"/>
      <c r="F140" s="168"/>
      <c r="G140" s="168"/>
      <c r="H140" s="588"/>
      <c r="I140" s="569"/>
      <c r="J140" s="569"/>
      <c r="K140" s="569"/>
      <c r="L140" s="569"/>
      <c r="M140" s="189"/>
      <c r="N140" s="189"/>
      <c r="O140" s="189"/>
      <c r="P140" s="189"/>
      <c r="Q140" s="189"/>
      <c r="R140" s="189"/>
      <c r="S140" s="189"/>
      <c r="T140" s="189"/>
      <c r="U140" s="14">
        <f t="shared" si="5"/>
        <v>0</v>
      </c>
      <c r="V140" s="196">
        <f t="shared" si="6"/>
        <v>0</v>
      </c>
      <c r="W140" s="188">
        <v>12</v>
      </c>
      <c r="X140" s="188">
        <v>6</v>
      </c>
      <c r="Y140" s="188">
        <v>4</v>
      </c>
      <c r="Z140" s="14"/>
      <c r="AA140" s="189"/>
      <c r="AB140" s="189"/>
      <c r="AC140" s="189"/>
    </row>
    <row r="141" spans="1:29" ht="11.25" x14ac:dyDescent="0.25">
      <c r="A141" s="368" t="s">
        <v>38</v>
      </c>
      <c r="B141" s="368" t="s">
        <v>84</v>
      </c>
      <c r="C141" s="372" t="s">
        <v>268</v>
      </c>
      <c r="D141" s="359" t="s">
        <v>132</v>
      </c>
      <c r="E141" s="168"/>
      <c r="F141" s="168"/>
      <c r="G141" s="168"/>
      <c r="H141" s="588"/>
      <c r="I141" s="189"/>
      <c r="J141" s="189"/>
      <c r="K141" s="189"/>
      <c r="L141" s="189"/>
      <c r="M141" s="189"/>
      <c r="N141" s="189"/>
      <c r="O141" s="189"/>
      <c r="P141" s="189"/>
      <c r="Q141" s="189"/>
      <c r="R141" s="189"/>
      <c r="S141" s="189"/>
      <c r="T141" s="189"/>
      <c r="U141" s="14">
        <f t="shared" si="5"/>
        <v>0</v>
      </c>
      <c r="V141" s="196">
        <f t="shared" si="6"/>
        <v>0</v>
      </c>
      <c r="W141" s="188">
        <v>12</v>
      </c>
      <c r="X141" s="188">
        <v>6</v>
      </c>
      <c r="Y141" s="188">
        <v>4</v>
      </c>
      <c r="Z141" s="189"/>
      <c r="AA141" s="189"/>
      <c r="AB141" s="189"/>
      <c r="AC141" s="189"/>
    </row>
    <row r="142" spans="1:29" x14ac:dyDescent="0.25">
      <c r="A142" s="368" t="s">
        <v>38</v>
      </c>
      <c r="B142" s="368" t="s">
        <v>271</v>
      </c>
      <c r="C142" s="372" t="s">
        <v>272</v>
      </c>
      <c r="D142" s="359" t="s">
        <v>132</v>
      </c>
      <c r="E142" s="168"/>
      <c r="F142" s="168"/>
      <c r="G142" s="168"/>
      <c r="H142" s="588"/>
      <c r="I142" s="569"/>
      <c r="J142" s="569"/>
      <c r="K142" s="569"/>
      <c r="L142" s="569"/>
      <c r="M142" s="189"/>
      <c r="N142" s="189"/>
      <c r="O142" s="189"/>
      <c r="P142" s="189"/>
      <c r="Q142" s="189"/>
      <c r="R142" s="189"/>
      <c r="S142" s="189"/>
      <c r="T142" s="189"/>
      <c r="U142" s="14">
        <f t="shared" si="5"/>
        <v>0</v>
      </c>
      <c r="V142" s="196">
        <f t="shared" si="6"/>
        <v>0</v>
      </c>
      <c r="W142" s="188">
        <v>12</v>
      </c>
      <c r="X142" s="188">
        <v>6</v>
      </c>
      <c r="Y142" s="188">
        <v>4</v>
      </c>
      <c r="Z142" s="189"/>
      <c r="AA142" s="189"/>
      <c r="AB142" s="189"/>
      <c r="AC142" s="189"/>
    </row>
    <row r="143" spans="1:29" x14ac:dyDescent="0.25">
      <c r="A143" s="368" t="s">
        <v>38</v>
      </c>
      <c r="B143" s="368" t="s">
        <v>273</v>
      </c>
      <c r="C143" s="372" t="s">
        <v>272</v>
      </c>
      <c r="D143" s="359" t="s">
        <v>146</v>
      </c>
      <c r="E143" s="168"/>
      <c r="F143" s="168"/>
      <c r="G143" s="168"/>
      <c r="H143" s="588"/>
      <c r="I143" s="569"/>
      <c r="J143" s="569"/>
      <c r="K143" s="569"/>
      <c r="L143" s="569"/>
      <c r="M143" s="189"/>
      <c r="N143" s="189"/>
      <c r="O143" s="189"/>
      <c r="P143" s="189"/>
      <c r="Q143" s="189"/>
      <c r="R143" s="189"/>
      <c r="S143" s="189"/>
      <c r="T143" s="189"/>
      <c r="U143" s="14">
        <f t="shared" si="5"/>
        <v>0</v>
      </c>
      <c r="V143" s="196">
        <f t="shared" si="6"/>
        <v>0</v>
      </c>
      <c r="W143" s="188">
        <v>12</v>
      </c>
      <c r="X143" s="188">
        <v>6</v>
      </c>
      <c r="Y143" s="188">
        <v>4</v>
      </c>
      <c r="Z143" s="189"/>
      <c r="AA143" s="189"/>
      <c r="AB143" s="189"/>
      <c r="AC143" s="189"/>
    </row>
    <row r="144" spans="1:29" x14ac:dyDescent="0.25">
      <c r="A144" s="368" t="s">
        <v>38</v>
      </c>
      <c r="B144" s="368" t="s">
        <v>274</v>
      </c>
      <c r="C144" s="372" t="s">
        <v>275</v>
      </c>
      <c r="D144" s="359" t="s">
        <v>139</v>
      </c>
      <c r="E144" s="168"/>
      <c r="F144" s="168"/>
      <c r="G144" s="168"/>
      <c r="H144" s="588"/>
      <c r="I144" s="569"/>
      <c r="J144" s="569"/>
      <c r="K144" s="569"/>
      <c r="L144" s="569"/>
      <c r="M144" s="189"/>
      <c r="N144" s="189"/>
      <c r="O144" s="189"/>
      <c r="P144" s="189"/>
      <c r="Q144" s="189"/>
      <c r="R144" s="189"/>
      <c r="S144" s="189"/>
      <c r="T144" s="189"/>
      <c r="U144" s="14">
        <f t="shared" si="5"/>
        <v>0</v>
      </c>
      <c r="V144" s="196">
        <f t="shared" si="6"/>
        <v>0</v>
      </c>
      <c r="W144" s="188">
        <v>12</v>
      </c>
      <c r="X144" s="188">
        <v>6</v>
      </c>
      <c r="Y144" s="188">
        <v>4</v>
      </c>
      <c r="Z144" s="189"/>
      <c r="AA144" s="189"/>
      <c r="AB144" s="189"/>
      <c r="AC144" s="189"/>
    </row>
    <row r="145" spans="1:29" x14ac:dyDescent="0.25">
      <c r="A145" s="368" t="s">
        <v>38</v>
      </c>
      <c r="B145" s="368" t="s">
        <v>276</v>
      </c>
      <c r="C145" s="372" t="s">
        <v>275</v>
      </c>
      <c r="D145" s="359" t="s">
        <v>150</v>
      </c>
      <c r="E145" s="168"/>
      <c r="F145" s="168"/>
      <c r="G145" s="168"/>
      <c r="H145" s="588"/>
      <c r="I145" s="569"/>
      <c r="J145" s="569"/>
      <c r="K145" s="569"/>
      <c r="L145" s="569"/>
      <c r="M145" s="189"/>
      <c r="N145" s="189"/>
      <c r="O145" s="189"/>
      <c r="P145" s="189"/>
      <c r="Q145" s="189"/>
      <c r="R145" s="189"/>
      <c r="S145" s="189"/>
      <c r="T145" s="189"/>
      <c r="U145" s="14">
        <f t="shared" si="5"/>
        <v>0</v>
      </c>
      <c r="V145" s="196">
        <f t="shared" si="6"/>
        <v>0</v>
      </c>
      <c r="W145" s="188">
        <v>12</v>
      </c>
      <c r="X145" s="188">
        <v>6</v>
      </c>
      <c r="Y145" s="188">
        <v>4</v>
      </c>
      <c r="Z145" s="189"/>
      <c r="AA145" s="189"/>
      <c r="AB145" s="189"/>
      <c r="AC145" s="189"/>
    </row>
    <row r="146" spans="1:29" x14ac:dyDescent="0.25">
      <c r="A146" s="368" t="s">
        <v>38</v>
      </c>
      <c r="B146" s="368" t="s">
        <v>277</v>
      </c>
      <c r="C146" s="372" t="s">
        <v>275</v>
      </c>
      <c r="D146" s="359" t="s">
        <v>137</v>
      </c>
      <c r="E146" s="168"/>
      <c r="F146" s="168"/>
      <c r="G146" s="168"/>
      <c r="H146" s="588"/>
      <c r="I146" s="569"/>
      <c r="J146" s="569"/>
      <c r="K146" s="569"/>
      <c r="L146" s="569"/>
      <c r="M146" s="189"/>
      <c r="N146" s="189"/>
      <c r="O146" s="189"/>
      <c r="P146" s="189"/>
      <c r="Q146" s="189"/>
      <c r="R146" s="189"/>
      <c r="S146" s="189"/>
      <c r="T146" s="189"/>
      <c r="U146" s="14">
        <f t="shared" si="5"/>
        <v>0</v>
      </c>
      <c r="V146" s="196">
        <f t="shared" si="6"/>
        <v>0</v>
      </c>
      <c r="W146" s="188">
        <v>12</v>
      </c>
      <c r="X146" s="188">
        <v>6</v>
      </c>
      <c r="Y146" s="188">
        <v>4</v>
      </c>
      <c r="Z146" s="189"/>
      <c r="AA146" s="189"/>
      <c r="AB146" s="189"/>
      <c r="AC146" s="189"/>
    </row>
    <row r="147" spans="1:29" x14ac:dyDescent="0.25">
      <c r="A147" s="368" t="s">
        <v>38</v>
      </c>
      <c r="B147" s="368" t="s">
        <v>263</v>
      </c>
      <c r="C147" s="372" t="s">
        <v>264</v>
      </c>
      <c r="D147" s="359" t="s">
        <v>265</v>
      </c>
      <c r="E147" s="168"/>
      <c r="F147" s="168"/>
      <c r="G147" s="168"/>
      <c r="H147" s="588"/>
      <c r="I147" s="569"/>
      <c r="J147" s="569"/>
      <c r="K147" s="569"/>
      <c r="L147" s="569"/>
      <c r="M147" s="189"/>
      <c r="N147" s="189"/>
      <c r="O147" s="189"/>
      <c r="P147" s="189"/>
      <c r="Q147" s="189"/>
      <c r="R147" s="189"/>
      <c r="S147" s="189"/>
      <c r="T147" s="189"/>
      <c r="U147" s="14">
        <f t="shared" si="5"/>
        <v>0</v>
      </c>
      <c r="V147" s="196">
        <f t="shared" si="6"/>
        <v>0</v>
      </c>
      <c r="W147" s="188">
        <v>12</v>
      </c>
      <c r="X147" s="188">
        <v>6</v>
      </c>
      <c r="Y147" s="188">
        <v>4</v>
      </c>
      <c r="Z147" s="189"/>
      <c r="AA147" s="189"/>
      <c r="AB147" s="189"/>
      <c r="AC147" s="189"/>
    </row>
    <row r="148" spans="1:29" x14ac:dyDescent="0.25">
      <c r="A148" s="368" t="s">
        <v>38</v>
      </c>
      <c r="B148" s="368" t="s">
        <v>312</v>
      </c>
      <c r="C148" s="372" t="s">
        <v>311</v>
      </c>
      <c r="D148" s="359" t="s">
        <v>252</v>
      </c>
      <c r="E148" s="168"/>
      <c r="F148" s="168"/>
      <c r="G148" s="168"/>
      <c r="H148" s="588"/>
      <c r="I148" s="569"/>
      <c r="J148" s="569"/>
      <c r="K148" s="569"/>
      <c r="L148" s="569"/>
      <c r="M148" s="189"/>
      <c r="N148" s="189"/>
      <c r="O148" s="189"/>
      <c r="P148" s="189"/>
      <c r="Q148" s="189"/>
      <c r="R148" s="189"/>
      <c r="S148" s="189"/>
      <c r="T148" s="189"/>
      <c r="U148" s="14">
        <f t="shared" si="5"/>
        <v>0</v>
      </c>
      <c r="V148" s="196">
        <f t="shared" si="6"/>
        <v>0</v>
      </c>
      <c r="W148" s="188">
        <v>12</v>
      </c>
      <c r="X148" s="188">
        <v>6</v>
      </c>
      <c r="Y148" s="188">
        <v>4</v>
      </c>
      <c r="Z148" s="189"/>
      <c r="AA148" s="189"/>
      <c r="AB148" s="189"/>
      <c r="AC148" s="189"/>
    </row>
    <row r="149" spans="1:29" x14ac:dyDescent="0.25">
      <c r="A149" s="368" t="s">
        <v>38</v>
      </c>
      <c r="B149" s="368" t="s">
        <v>82</v>
      </c>
      <c r="C149" s="372" t="s">
        <v>311</v>
      </c>
      <c r="D149" s="359" t="s">
        <v>259</v>
      </c>
      <c r="E149" s="168"/>
      <c r="F149" s="168"/>
      <c r="G149" s="168"/>
      <c r="H149" s="588"/>
      <c r="I149" s="569"/>
      <c r="J149" s="569"/>
      <c r="K149" s="569"/>
      <c r="L149" s="569"/>
      <c r="M149" s="189"/>
      <c r="N149" s="189"/>
      <c r="O149" s="189"/>
      <c r="P149" s="189"/>
      <c r="Q149" s="189"/>
      <c r="R149" s="189"/>
      <c r="S149" s="189"/>
      <c r="T149" s="189"/>
      <c r="U149" s="14">
        <f t="shared" si="5"/>
        <v>0</v>
      </c>
      <c r="V149" s="196">
        <f t="shared" si="6"/>
        <v>0</v>
      </c>
      <c r="W149" s="188">
        <v>12</v>
      </c>
      <c r="X149" s="188">
        <v>6</v>
      </c>
      <c r="Y149" s="188">
        <v>4</v>
      </c>
      <c r="Z149" s="189"/>
      <c r="AA149" s="189"/>
      <c r="AB149" s="189"/>
      <c r="AC149" s="189"/>
    </row>
    <row r="150" spans="1:29" x14ac:dyDescent="0.25">
      <c r="A150" s="368" t="s">
        <v>38</v>
      </c>
      <c r="B150" s="368" t="s">
        <v>341</v>
      </c>
      <c r="C150" s="372" t="s">
        <v>131</v>
      </c>
      <c r="D150" s="359" t="s">
        <v>132</v>
      </c>
      <c r="E150" s="168"/>
      <c r="F150" s="168"/>
      <c r="G150" s="168"/>
      <c r="H150" s="588"/>
      <c r="I150" s="569"/>
      <c r="J150" s="569"/>
      <c r="K150" s="569"/>
      <c r="L150" s="569"/>
      <c r="M150" s="189"/>
      <c r="N150" s="189"/>
      <c r="O150" s="189"/>
      <c r="P150" s="189"/>
      <c r="Q150" s="189"/>
      <c r="R150" s="189"/>
      <c r="S150" s="189"/>
      <c r="T150" s="189"/>
      <c r="U150" s="14">
        <f t="shared" si="5"/>
        <v>0</v>
      </c>
      <c r="V150" s="196">
        <f t="shared" si="6"/>
        <v>0</v>
      </c>
      <c r="W150" s="188">
        <v>12</v>
      </c>
      <c r="X150" s="188">
        <v>6</v>
      </c>
      <c r="Y150" s="188">
        <v>4</v>
      </c>
      <c r="Z150" s="189"/>
      <c r="AA150" s="189"/>
      <c r="AB150" s="189"/>
      <c r="AC150" s="189"/>
    </row>
    <row r="151" spans="1:29" x14ac:dyDescent="0.25">
      <c r="A151" s="368" t="s">
        <v>38</v>
      </c>
      <c r="B151" s="368" t="s">
        <v>351</v>
      </c>
      <c r="C151" s="372" t="s">
        <v>352</v>
      </c>
      <c r="D151" s="359" t="s">
        <v>259</v>
      </c>
      <c r="E151" s="168"/>
      <c r="F151" s="168"/>
      <c r="G151" s="168"/>
      <c r="H151" s="588"/>
      <c r="I151" s="569"/>
      <c r="J151" s="569"/>
      <c r="K151" s="569"/>
      <c r="L151" s="569"/>
      <c r="M151" s="189"/>
      <c r="N151" s="189"/>
      <c r="O151" s="189"/>
      <c r="P151" s="189"/>
      <c r="Q151" s="189"/>
      <c r="R151" s="189"/>
      <c r="S151" s="189"/>
      <c r="T151" s="189"/>
      <c r="U151" s="14">
        <f t="shared" si="5"/>
        <v>0</v>
      </c>
      <c r="V151" s="196">
        <f t="shared" si="6"/>
        <v>0</v>
      </c>
      <c r="W151" s="188">
        <v>12</v>
      </c>
      <c r="X151" s="188">
        <v>6</v>
      </c>
      <c r="Y151" s="188">
        <v>4</v>
      </c>
      <c r="Z151" s="189"/>
      <c r="AA151" s="189"/>
      <c r="AB151" s="189"/>
      <c r="AC151" s="189"/>
    </row>
    <row r="152" spans="1:29" x14ac:dyDescent="0.25">
      <c r="A152" s="368" t="s">
        <v>38</v>
      </c>
      <c r="B152" s="368" t="s">
        <v>313</v>
      </c>
      <c r="C152" s="372" t="s">
        <v>314</v>
      </c>
      <c r="D152" s="359" t="s">
        <v>146</v>
      </c>
      <c r="E152" s="168"/>
      <c r="F152" s="168"/>
      <c r="G152" s="168"/>
      <c r="H152" s="588"/>
      <c r="I152" s="569"/>
      <c r="J152" s="569"/>
      <c r="K152" s="569"/>
      <c r="L152" s="569"/>
      <c r="M152" s="189"/>
      <c r="N152" s="189"/>
      <c r="O152" s="189"/>
      <c r="P152" s="189"/>
      <c r="Q152" s="189"/>
      <c r="R152" s="189"/>
      <c r="S152" s="189"/>
      <c r="T152" s="189"/>
      <c r="U152" s="14">
        <f t="shared" si="5"/>
        <v>0</v>
      </c>
      <c r="V152" s="196">
        <f t="shared" si="6"/>
        <v>0</v>
      </c>
      <c r="W152" s="188">
        <v>12</v>
      </c>
      <c r="X152" s="188">
        <v>6</v>
      </c>
      <c r="Y152" s="188">
        <v>4</v>
      </c>
      <c r="Z152" s="189"/>
      <c r="AA152" s="189"/>
      <c r="AB152" s="189"/>
      <c r="AC152" s="189"/>
    </row>
    <row r="153" spans="1:29" x14ac:dyDescent="0.25">
      <c r="A153" s="368" t="s">
        <v>38</v>
      </c>
      <c r="B153" s="368" t="s">
        <v>344</v>
      </c>
      <c r="C153" s="372" t="s">
        <v>345</v>
      </c>
      <c r="D153" s="359" t="s">
        <v>137</v>
      </c>
      <c r="E153" s="168"/>
      <c r="F153" s="168"/>
      <c r="G153" s="168"/>
      <c r="H153" s="588"/>
      <c r="I153" s="569"/>
      <c r="J153" s="569"/>
      <c r="K153" s="569"/>
      <c r="L153" s="569"/>
      <c r="M153" s="189"/>
      <c r="N153" s="189"/>
      <c r="O153" s="189"/>
      <c r="P153" s="189"/>
      <c r="Q153" s="189"/>
      <c r="R153" s="189"/>
      <c r="S153" s="189"/>
      <c r="T153" s="189"/>
      <c r="U153" s="14">
        <f t="shared" si="5"/>
        <v>0</v>
      </c>
      <c r="V153" s="196">
        <f t="shared" si="6"/>
        <v>0</v>
      </c>
      <c r="W153" s="188">
        <v>12</v>
      </c>
      <c r="X153" s="188">
        <v>6</v>
      </c>
      <c r="Y153" s="188">
        <v>4</v>
      </c>
      <c r="Z153" s="189"/>
      <c r="AA153" s="189"/>
      <c r="AB153" s="189"/>
      <c r="AC153" s="189"/>
    </row>
    <row r="154" spans="1:29" x14ac:dyDescent="0.25">
      <c r="A154" s="368" t="s">
        <v>38</v>
      </c>
      <c r="B154" s="368" t="s">
        <v>257</v>
      </c>
      <c r="C154" s="372" t="s">
        <v>258</v>
      </c>
      <c r="D154" s="359" t="s">
        <v>259</v>
      </c>
      <c r="E154" s="168"/>
      <c r="F154" s="168"/>
      <c r="G154" s="168"/>
      <c r="H154" s="588"/>
      <c r="I154" s="569"/>
      <c r="J154" s="569"/>
      <c r="K154" s="569"/>
      <c r="L154" s="569"/>
      <c r="M154" s="189"/>
      <c r="N154" s="189"/>
      <c r="O154" s="189"/>
      <c r="P154" s="189"/>
      <c r="Q154" s="189"/>
      <c r="R154" s="189"/>
      <c r="S154" s="189"/>
      <c r="T154" s="189"/>
      <c r="U154" s="14">
        <f t="shared" si="5"/>
        <v>0</v>
      </c>
      <c r="V154" s="196">
        <f t="shared" si="6"/>
        <v>0</v>
      </c>
      <c r="W154" s="188"/>
      <c r="X154" s="188"/>
      <c r="Y154" s="188"/>
      <c r="Z154" s="189"/>
      <c r="AA154" s="189"/>
      <c r="AB154" s="189"/>
      <c r="AC154" s="189"/>
    </row>
    <row r="155" spans="1:29" x14ac:dyDescent="0.25">
      <c r="A155" s="368" t="s">
        <v>38</v>
      </c>
      <c r="B155" s="368" t="s">
        <v>266</v>
      </c>
      <c r="C155" s="372" t="s">
        <v>267</v>
      </c>
      <c r="D155" s="359" t="s">
        <v>259</v>
      </c>
      <c r="E155" s="168"/>
      <c r="F155" s="168"/>
      <c r="G155" s="168"/>
      <c r="H155" s="588"/>
      <c r="I155" s="569"/>
      <c r="J155" s="569"/>
      <c r="K155" s="569"/>
      <c r="L155" s="569"/>
      <c r="M155" s="189"/>
      <c r="N155" s="189"/>
      <c r="O155" s="189"/>
      <c r="P155" s="189"/>
      <c r="Q155" s="189"/>
      <c r="R155" s="189"/>
      <c r="S155" s="189"/>
      <c r="T155" s="189"/>
      <c r="U155" s="14">
        <f t="shared" si="5"/>
        <v>0</v>
      </c>
      <c r="V155" s="196">
        <f t="shared" si="6"/>
        <v>0</v>
      </c>
      <c r="W155" s="188"/>
      <c r="X155" s="188"/>
      <c r="Y155" s="188"/>
      <c r="Z155" s="189"/>
      <c r="AA155" s="189"/>
      <c r="AB155" s="189"/>
      <c r="AC155" s="189"/>
    </row>
    <row r="156" spans="1:29" x14ac:dyDescent="0.25">
      <c r="A156" s="368" t="s">
        <v>38</v>
      </c>
      <c r="B156" s="368" t="s">
        <v>246</v>
      </c>
      <c r="C156" s="372" t="s">
        <v>247</v>
      </c>
      <c r="D156" s="359" t="s">
        <v>146</v>
      </c>
      <c r="E156" s="168"/>
      <c r="F156" s="168"/>
      <c r="G156" s="168"/>
      <c r="H156" s="588"/>
      <c r="I156" s="569"/>
      <c r="J156" s="569"/>
      <c r="K156" s="569"/>
      <c r="L156" s="569"/>
      <c r="M156" s="189"/>
      <c r="N156" s="189"/>
      <c r="O156" s="189"/>
      <c r="P156" s="189"/>
      <c r="Q156" s="189"/>
      <c r="R156" s="189"/>
      <c r="S156" s="189"/>
      <c r="T156" s="189"/>
      <c r="U156" s="14">
        <f t="shared" si="5"/>
        <v>0</v>
      </c>
      <c r="V156" s="196">
        <f t="shared" si="6"/>
        <v>0</v>
      </c>
      <c r="W156" s="188">
        <v>12</v>
      </c>
      <c r="X156" s="188">
        <v>6</v>
      </c>
      <c r="Y156" s="188">
        <v>4</v>
      </c>
      <c r="Z156" s="189"/>
      <c r="AA156" s="189"/>
      <c r="AB156" s="189"/>
      <c r="AC156" s="189"/>
    </row>
    <row r="157" spans="1:29" x14ac:dyDescent="0.25">
      <c r="A157" s="368" t="s">
        <v>38</v>
      </c>
      <c r="B157" s="368" t="s">
        <v>250</v>
      </c>
      <c r="C157" s="372" t="s">
        <v>249</v>
      </c>
      <c r="D157" s="359" t="s">
        <v>139</v>
      </c>
      <c r="E157" s="168"/>
      <c r="F157" s="168"/>
      <c r="G157" s="168"/>
      <c r="H157" s="588"/>
      <c r="I157" s="569"/>
      <c r="J157" s="569"/>
      <c r="K157" s="569"/>
      <c r="L157" s="569"/>
      <c r="M157" s="189"/>
      <c r="N157" s="189"/>
      <c r="O157" s="189"/>
      <c r="P157" s="189"/>
      <c r="Q157" s="189"/>
      <c r="R157" s="189"/>
      <c r="S157" s="189"/>
      <c r="T157" s="189"/>
      <c r="U157" s="14">
        <f t="shared" si="5"/>
        <v>0</v>
      </c>
      <c r="V157" s="196">
        <f t="shared" si="6"/>
        <v>0</v>
      </c>
      <c r="W157" s="188">
        <v>12</v>
      </c>
      <c r="X157" s="188">
        <v>6</v>
      </c>
      <c r="Y157" s="188">
        <v>4</v>
      </c>
      <c r="Z157" s="189"/>
      <c r="AA157" s="189"/>
      <c r="AB157" s="189"/>
      <c r="AC157" s="189"/>
    </row>
    <row r="158" spans="1:29" x14ac:dyDescent="0.25">
      <c r="A158" s="368" t="s">
        <v>38</v>
      </c>
      <c r="B158" s="368" t="s">
        <v>83</v>
      </c>
      <c r="C158" s="372" t="s">
        <v>249</v>
      </c>
      <c r="D158" s="359" t="s">
        <v>146</v>
      </c>
      <c r="E158" s="168"/>
      <c r="F158" s="168"/>
      <c r="G158" s="168"/>
      <c r="H158" s="588"/>
      <c r="I158" s="569"/>
      <c r="J158" s="569"/>
      <c r="K158" s="569"/>
      <c r="L158" s="569"/>
      <c r="M158" s="189"/>
      <c r="N158" s="189"/>
      <c r="O158" s="189"/>
      <c r="P158" s="189"/>
      <c r="Q158" s="189"/>
      <c r="R158" s="189"/>
      <c r="S158" s="189"/>
      <c r="T158" s="189"/>
      <c r="U158" s="14">
        <f t="shared" si="5"/>
        <v>0</v>
      </c>
      <c r="V158" s="196">
        <f t="shared" si="6"/>
        <v>0</v>
      </c>
      <c r="W158" s="188">
        <v>12</v>
      </c>
      <c r="X158" s="188">
        <v>6</v>
      </c>
      <c r="Y158" s="188">
        <v>4</v>
      </c>
      <c r="Z158" s="189"/>
      <c r="AA158" s="189"/>
      <c r="AB158" s="189"/>
      <c r="AC158" s="189"/>
    </row>
    <row r="159" spans="1:29" x14ac:dyDescent="0.25">
      <c r="A159" s="368" t="s">
        <v>38</v>
      </c>
      <c r="B159" s="368" t="s">
        <v>253</v>
      </c>
      <c r="C159" s="372" t="s">
        <v>254</v>
      </c>
      <c r="D159" s="359" t="s">
        <v>150</v>
      </c>
      <c r="E159" s="168"/>
      <c r="F159" s="168"/>
      <c r="G159" s="168"/>
      <c r="H159" s="588"/>
      <c r="I159" s="569"/>
      <c r="J159" s="569"/>
      <c r="K159" s="569"/>
      <c r="L159" s="569"/>
      <c r="M159" s="189"/>
      <c r="N159" s="189"/>
      <c r="O159" s="189"/>
      <c r="P159" s="189"/>
      <c r="Q159" s="189"/>
      <c r="R159" s="189"/>
      <c r="S159" s="189"/>
      <c r="T159" s="189"/>
      <c r="U159" s="14">
        <f t="shared" si="5"/>
        <v>0</v>
      </c>
      <c r="V159" s="196">
        <f t="shared" si="6"/>
        <v>0</v>
      </c>
      <c r="W159" s="188">
        <v>12</v>
      </c>
      <c r="X159" s="188">
        <v>6</v>
      </c>
      <c r="Y159" s="188">
        <v>4</v>
      </c>
      <c r="Z159" s="189"/>
      <c r="AA159" s="189"/>
      <c r="AB159" s="189"/>
      <c r="AC159" s="189"/>
    </row>
    <row r="160" spans="1:29" x14ac:dyDescent="0.25">
      <c r="A160" s="368" t="s">
        <v>38</v>
      </c>
      <c r="B160" s="368" t="s">
        <v>269</v>
      </c>
      <c r="C160" s="372" t="s">
        <v>270</v>
      </c>
      <c r="D160" s="359" t="s">
        <v>132</v>
      </c>
      <c r="E160" s="168"/>
      <c r="F160" s="168"/>
      <c r="G160" s="168"/>
      <c r="H160" s="588"/>
      <c r="I160" s="569"/>
      <c r="J160" s="569"/>
      <c r="K160" s="569"/>
      <c r="L160" s="569"/>
      <c r="M160" s="189"/>
      <c r="N160" s="189"/>
      <c r="O160" s="189"/>
      <c r="P160" s="189"/>
      <c r="Q160" s="189"/>
      <c r="R160" s="189"/>
      <c r="S160" s="189"/>
      <c r="T160" s="189"/>
      <c r="U160" s="14">
        <f t="shared" si="5"/>
        <v>0</v>
      </c>
      <c r="V160" s="196">
        <f t="shared" si="6"/>
        <v>0</v>
      </c>
      <c r="W160" s="188">
        <v>12</v>
      </c>
      <c r="X160" s="188">
        <v>6</v>
      </c>
      <c r="Y160" s="188">
        <v>4</v>
      </c>
      <c r="Z160" s="189"/>
      <c r="AA160" s="189"/>
      <c r="AB160" s="189"/>
      <c r="AC160" s="189"/>
    </row>
    <row r="161" spans="1:29" x14ac:dyDescent="0.25">
      <c r="A161" s="368" t="s">
        <v>38</v>
      </c>
      <c r="B161" s="368" t="s">
        <v>330</v>
      </c>
      <c r="C161" s="372" t="s">
        <v>329</v>
      </c>
      <c r="D161" s="359" t="s">
        <v>252</v>
      </c>
      <c r="E161" s="168"/>
      <c r="F161" s="168"/>
      <c r="G161" s="168"/>
      <c r="H161" s="588"/>
      <c r="I161" s="569"/>
      <c r="J161" s="569"/>
      <c r="K161" s="569"/>
      <c r="L161" s="569"/>
      <c r="M161" s="189"/>
      <c r="N161" s="189"/>
      <c r="O161" s="189"/>
      <c r="P161" s="189"/>
      <c r="Q161" s="189"/>
      <c r="R161" s="189"/>
      <c r="S161" s="189"/>
      <c r="T161" s="189"/>
      <c r="U161" s="14">
        <f t="shared" si="5"/>
        <v>0</v>
      </c>
      <c r="V161" s="196">
        <f t="shared" si="6"/>
        <v>0</v>
      </c>
      <c r="W161" s="188">
        <v>12</v>
      </c>
      <c r="X161" s="188">
        <v>6</v>
      </c>
      <c r="Y161" s="188">
        <v>4</v>
      </c>
      <c r="Z161" s="189"/>
      <c r="AA161" s="189"/>
      <c r="AB161" s="189"/>
      <c r="AC161" s="189"/>
    </row>
    <row r="162" spans="1:29" x14ac:dyDescent="0.25">
      <c r="A162" s="368" t="s">
        <v>38</v>
      </c>
      <c r="B162" s="368" t="s">
        <v>331</v>
      </c>
      <c r="C162" s="372" t="s">
        <v>329</v>
      </c>
      <c r="D162" s="359" t="s">
        <v>137</v>
      </c>
      <c r="E162" s="168"/>
      <c r="F162" s="168"/>
      <c r="G162" s="168"/>
      <c r="H162" s="588"/>
      <c r="I162" s="569"/>
      <c r="J162" s="569"/>
      <c r="K162" s="569"/>
      <c r="L162" s="569"/>
      <c r="M162" s="189"/>
      <c r="N162" s="189"/>
      <c r="O162" s="189"/>
      <c r="P162" s="189"/>
      <c r="Q162" s="189"/>
      <c r="R162" s="189"/>
      <c r="S162" s="189"/>
      <c r="T162" s="189"/>
      <c r="U162" s="14">
        <f t="shared" si="5"/>
        <v>0</v>
      </c>
      <c r="V162" s="196">
        <f t="shared" si="6"/>
        <v>0</v>
      </c>
      <c r="W162" s="188">
        <v>12</v>
      </c>
      <c r="X162" s="188">
        <v>6</v>
      </c>
      <c r="Y162" s="188">
        <v>4</v>
      </c>
      <c r="Z162" s="189"/>
      <c r="AA162" s="189"/>
      <c r="AB162" s="189"/>
      <c r="AC162" s="189"/>
    </row>
    <row r="163" spans="1:29" x14ac:dyDescent="0.25">
      <c r="A163" s="368" t="s">
        <v>38</v>
      </c>
      <c r="B163" s="368" t="s">
        <v>328</v>
      </c>
      <c r="C163" s="372" t="s">
        <v>329</v>
      </c>
      <c r="D163" s="359" t="s">
        <v>132</v>
      </c>
      <c r="E163" s="168"/>
      <c r="F163" s="168"/>
      <c r="G163" s="168"/>
      <c r="H163" s="588"/>
      <c r="I163" s="569"/>
      <c r="J163" s="569"/>
      <c r="K163" s="569"/>
      <c r="L163" s="569"/>
      <c r="M163" s="189"/>
      <c r="N163" s="189"/>
      <c r="O163" s="189"/>
      <c r="P163" s="189"/>
      <c r="Q163" s="189"/>
      <c r="R163" s="189"/>
      <c r="S163" s="189"/>
      <c r="T163" s="189"/>
      <c r="U163" s="14">
        <f t="shared" si="5"/>
        <v>0</v>
      </c>
      <c r="V163" s="196">
        <f t="shared" si="6"/>
        <v>0</v>
      </c>
      <c r="W163" s="188">
        <v>12</v>
      </c>
      <c r="X163" s="188">
        <v>6</v>
      </c>
      <c r="Y163" s="188">
        <v>4</v>
      </c>
      <c r="Z163" s="189"/>
      <c r="AA163" s="189"/>
      <c r="AB163" s="189"/>
      <c r="AC163" s="189"/>
    </row>
    <row r="164" spans="1:29" x14ac:dyDescent="0.25">
      <c r="A164" s="368" t="s">
        <v>38</v>
      </c>
      <c r="B164" s="368" t="s">
        <v>81</v>
      </c>
      <c r="C164" s="372" t="s">
        <v>329</v>
      </c>
      <c r="D164" s="359" t="s">
        <v>146</v>
      </c>
      <c r="E164" s="168"/>
      <c r="F164" s="168"/>
      <c r="G164" s="168"/>
      <c r="H164" s="588"/>
      <c r="I164" s="569"/>
      <c r="J164" s="569"/>
      <c r="K164" s="569"/>
      <c r="L164" s="569"/>
      <c r="M164" s="189"/>
      <c r="N164" s="189"/>
      <c r="O164" s="189"/>
      <c r="P164" s="189"/>
      <c r="Q164" s="189"/>
      <c r="R164" s="189"/>
      <c r="S164" s="189"/>
      <c r="T164" s="189"/>
      <c r="U164" s="14">
        <f t="shared" si="5"/>
        <v>0</v>
      </c>
      <c r="V164" s="196">
        <f t="shared" si="6"/>
        <v>0</v>
      </c>
      <c r="W164" s="188">
        <v>12</v>
      </c>
      <c r="X164" s="188">
        <v>6</v>
      </c>
      <c r="Y164" s="188">
        <v>4</v>
      </c>
      <c r="Z164" s="189"/>
      <c r="AA164" s="189"/>
      <c r="AB164" s="189"/>
      <c r="AC164" s="189"/>
    </row>
    <row r="165" spans="1:29" x14ac:dyDescent="0.25">
      <c r="A165" s="368" t="s">
        <v>38</v>
      </c>
      <c r="B165" s="368" t="s">
        <v>350</v>
      </c>
      <c r="C165" s="372" t="s">
        <v>156</v>
      </c>
      <c r="D165" s="359" t="s">
        <v>150</v>
      </c>
      <c r="E165" s="168"/>
      <c r="F165" s="168"/>
      <c r="G165" s="168"/>
      <c r="H165" s="588"/>
      <c r="I165" s="569"/>
      <c r="J165" s="569"/>
      <c r="K165" s="569"/>
      <c r="L165" s="569"/>
      <c r="M165" s="189"/>
      <c r="N165" s="189"/>
      <c r="O165" s="189"/>
      <c r="P165" s="189"/>
      <c r="Q165" s="189"/>
      <c r="R165" s="189"/>
      <c r="S165" s="189"/>
      <c r="T165" s="189"/>
      <c r="U165" s="14">
        <f t="shared" si="5"/>
        <v>0</v>
      </c>
      <c r="V165" s="196">
        <f t="shared" si="6"/>
        <v>0</v>
      </c>
      <c r="W165" s="188">
        <v>12</v>
      </c>
      <c r="X165" s="188">
        <v>6</v>
      </c>
      <c r="Y165" s="188">
        <v>4</v>
      </c>
      <c r="Z165" s="189"/>
      <c r="AA165" s="189"/>
      <c r="AB165" s="189"/>
      <c r="AC165" s="189"/>
    </row>
    <row r="166" spans="1:29" x14ac:dyDescent="0.25">
      <c r="A166" s="368" t="s">
        <v>38</v>
      </c>
      <c r="B166" s="368" t="s">
        <v>342</v>
      </c>
      <c r="C166" s="372" t="s">
        <v>156</v>
      </c>
      <c r="D166" s="359" t="s">
        <v>132</v>
      </c>
      <c r="E166" s="168"/>
      <c r="F166" s="168"/>
      <c r="G166" s="168"/>
      <c r="H166" s="588"/>
      <c r="I166" s="569"/>
      <c r="J166" s="569"/>
      <c r="K166" s="569"/>
      <c r="L166" s="569"/>
      <c r="M166" s="189"/>
      <c r="N166" s="189"/>
      <c r="O166" s="189"/>
      <c r="P166" s="189"/>
      <c r="Q166" s="189"/>
      <c r="R166" s="189"/>
      <c r="S166" s="189"/>
      <c r="T166" s="189"/>
      <c r="U166" s="14">
        <f t="shared" si="5"/>
        <v>0</v>
      </c>
      <c r="V166" s="196">
        <f t="shared" si="6"/>
        <v>0</v>
      </c>
      <c r="W166" s="188">
        <v>12</v>
      </c>
      <c r="X166" s="188">
        <v>6</v>
      </c>
      <c r="Y166" s="188">
        <v>4</v>
      </c>
      <c r="Z166" s="189"/>
      <c r="AA166" s="189"/>
      <c r="AB166" s="189"/>
      <c r="AC166" s="189"/>
    </row>
    <row r="167" spans="1:29" x14ac:dyDescent="0.25">
      <c r="A167" s="368" t="s">
        <v>38</v>
      </c>
      <c r="B167" s="368" t="s">
        <v>343</v>
      </c>
      <c r="C167" s="372" t="s">
        <v>156</v>
      </c>
      <c r="D167" s="359" t="s">
        <v>146</v>
      </c>
      <c r="E167" s="168"/>
      <c r="F167" s="168"/>
      <c r="G167" s="168"/>
      <c r="H167" s="588"/>
      <c r="I167" s="569"/>
      <c r="J167" s="569"/>
      <c r="K167" s="569"/>
      <c r="L167" s="569"/>
      <c r="M167" s="189"/>
      <c r="N167" s="189"/>
      <c r="O167" s="189"/>
      <c r="P167" s="189"/>
      <c r="Q167" s="189"/>
      <c r="R167" s="189"/>
      <c r="S167" s="189"/>
      <c r="T167" s="189"/>
      <c r="U167" s="14">
        <f t="shared" si="5"/>
        <v>0</v>
      </c>
      <c r="V167" s="196">
        <f t="shared" si="6"/>
        <v>0</v>
      </c>
      <c r="W167" s="188">
        <v>12</v>
      </c>
      <c r="X167" s="188">
        <v>6</v>
      </c>
      <c r="Y167" s="188">
        <v>4</v>
      </c>
      <c r="Z167" s="189"/>
      <c r="AA167" s="189"/>
      <c r="AB167" s="189"/>
      <c r="AC167" s="189"/>
    </row>
    <row r="168" spans="1:29" x14ac:dyDescent="0.25">
      <c r="A168" s="368" t="s">
        <v>38</v>
      </c>
      <c r="B168" s="368" t="s">
        <v>278</v>
      </c>
      <c r="C168" s="372" t="s">
        <v>151</v>
      </c>
      <c r="D168" s="359" t="s">
        <v>132</v>
      </c>
      <c r="E168" s="168"/>
      <c r="F168" s="168"/>
      <c r="G168" s="168"/>
      <c r="H168" s="588"/>
      <c r="I168" s="569"/>
      <c r="J168" s="569"/>
      <c r="K168" s="569"/>
      <c r="L168" s="569"/>
      <c r="M168" s="189"/>
      <c r="N168" s="189"/>
      <c r="O168" s="189"/>
      <c r="P168" s="189"/>
      <c r="Q168" s="189"/>
      <c r="R168" s="189"/>
      <c r="S168" s="189"/>
      <c r="T168" s="189"/>
      <c r="U168" s="14">
        <f t="shared" si="5"/>
        <v>0</v>
      </c>
      <c r="V168" s="196">
        <f t="shared" si="6"/>
        <v>0</v>
      </c>
      <c r="W168" s="188">
        <v>12</v>
      </c>
      <c r="X168" s="188">
        <v>6</v>
      </c>
      <c r="Y168" s="188">
        <v>4</v>
      </c>
      <c r="Z168" s="189"/>
      <c r="AA168" s="189"/>
      <c r="AB168" s="189"/>
      <c r="AC168" s="189"/>
    </row>
    <row r="169" spans="1:29" x14ac:dyDescent="0.25">
      <c r="A169" s="368" t="s">
        <v>38</v>
      </c>
      <c r="B169" s="368" t="s">
        <v>305</v>
      </c>
      <c r="C169" s="372" t="s">
        <v>306</v>
      </c>
      <c r="D169" s="359" t="s">
        <v>139</v>
      </c>
      <c r="E169" s="168"/>
      <c r="F169" s="168"/>
      <c r="G169" s="168"/>
      <c r="H169" s="588"/>
      <c r="I169" s="569"/>
      <c r="J169" s="569"/>
      <c r="K169" s="569"/>
      <c r="L169" s="569"/>
      <c r="M169" s="189"/>
      <c r="N169" s="189"/>
      <c r="O169" s="189"/>
      <c r="P169" s="189"/>
      <c r="Q169" s="189"/>
      <c r="R169" s="189"/>
      <c r="S169" s="189"/>
      <c r="T169" s="189"/>
      <c r="U169" s="14">
        <f t="shared" si="5"/>
        <v>0</v>
      </c>
      <c r="V169" s="196">
        <f t="shared" si="6"/>
        <v>0</v>
      </c>
      <c r="W169" s="188">
        <v>12</v>
      </c>
      <c r="X169" s="188">
        <v>6</v>
      </c>
      <c r="Y169" s="188">
        <v>4</v>
      </c>
      <c r="Z169" s="189"/>
      <c r="AA169" s="189"/>
      <c r="AB169" s="189"/>
      <c r="AC169" s="189"/>
    </row>
    <row r="170" spans="1:29" x14ac:dyDescent="0.25">
      <c r="A170" s="368" t="s">
        <v>38</v>
      </c>
      <c r="B170" s="368" t="s">
        <v>303</v>
      </c>
      <c r="C170" s="372" t="s">
        <v>304</v>
      </c>
      <c r="D170" s="359" t="s">
        <v>139</v>
      </c>
      <c r="E170" s="168"/>
      <c r="F170" s="168"/>
      <c r="G170" s="168"/>
      <c r="H170" s="588"/>
      <c r="I170" s="569"/>
      <c r="J170" s="569"/>
      <c r="K170" s="569"/>
      <c r="L170" s="569"/>
      <c r="M170" s="189"/>
      <c r="N170" s="189"/>
      <c r="O170" s="189"/>
      <c r="P170" s="189"/>
      <c r="Q170" s="189"/>
      <c r="R170" s="189"/>
      <c r="S170" s="189"/>
      <c r="T170" s="189"/>
      <c r="U170" s="14">
        <f t="shared" si="5"/>
        <v>0</v>
      </c>
      <c r="V170" s="196">
        <f t="shared" si="6"/>
        <v>0</v>
      </c>
      <c r="W170" s="188">
        <v>12</v>
      </c>
      <c r="X170" s="188">
        <v>6</v>
      </c>
      <c r="Y170" s="188">
        <v>4</v>
      </c>
      <c r="Z170" s="189"/>
      <c r="AA170" s="189"/>
      <c r="AB170" s="189"/>
      <c r="AC170" s="189"/>
    </row>
    <row r="171" spans="1:29" x14ac:dyDescent="0.25">
      <c r="A171" s="368" t="s">
        <v>38</v>
      </c>
      <c r="B171" s="368" t="s">
        <v>307</v>
      </c>
      <c r="C171" s="372" t="s">
        <v>304</v>
      </c>
      <c r="D171" s="359" t="s">
        <v>259</v>
      </c>
      <c r="E171" s="168"/>
      <c r="F171" s="168"/>
      <c r="G171" s="168"/>
      <c r="H171" s="588"/>
      <c r="I171" s="569"/>
      <c r="J171" s="569"/>
      <c r="K171" s="569"/>
      <c r="L171" s="569"/>
      <c r="M171" s="189"/>
      <c r="N171" s="189"/>
      <c r="O171" s="189"/>
      <c r="P171" s="189"/>
      <c r="Q171" s="189"/>
      <c r="R171" s="189"/>
      <c r="S171" s="189"/>
      <c r="T171" s="189"/>
      <c r="U171" s="14">
        <f t="shared" si="5"/>
        <v>0</v>
      </c>
      <c r="V171" s="196">
        <f t="shared" si="6"/>
        <v>0</v>
      </c>
      <c r="W171" s="188">
        <v>12</v>
      </c>
      <c r="X171" s="188">
        <v>6</v>
      </c>
      <c r="Y171" s="188">
        <v>4</v>
      </c>
      <c r="Z171" s="189"/>
      <c r="AA171" s="189"/>
      <c r="AB171" s="189"/>
      <c r="AC171" s="189"/>
    </row>
    <row r="172" spans="1:29" x14ac:dyDescent="0.25">
      <c r="A172" s="368" t="s">
        <v>38</v>
      </c>
      <c r="B172" s="368" t="s">
        <v>291</v>
      </c>
      <c r="C172" s="372" t="s">
        <v>145</v>
      </c>
      <c r="D172" s="359" t="s">
        <v>132</v>
      </c>
      <c r="E172" s="168"/>
      <c r="F172" s="168"/>
      <c r="G172" s="168"/>
      <c r="H172" s="588"/>
      <c r="I172" s="569"/>
      <c r="J172" s="569"/>
      <c r="K172" s="569"/>
      <c r="L172" s="569"/>
      <c r="M172" s="189"/>
      <c r="N172" s="189"/>
      <c r="O172" s="189"/>
      <c r="P172" s="189"/>
      <c r="Q172" s="189"/>
      <c r="R172" s="189"/>
      <c r="S172" s="189"/>
      <c r="T172" s="189"/>
      <c r="U172" s="14">
        <f t="shared" si="5"/>
        <v>0</v>
      </c>
      <c r="V172" s="196">
        <f t="shared" si="6"/>
        <v>0</v>
      </c>
      <c r="W172" s="188">
        <v>12</v>
      </c>
      <c r="X172" s="188">
        <v>6</v>
      </c>
      <c r="Y172" s="188">
        <v>4</v>
      </c>
      <c r="Z172" s="189"/>
      <c r="AA172" s="189"/>
      <c r="AB172" s="189"/>
      <c r="AC172" s="189"/>
    </row>
    <row r="173" spans="1:29" x14ac:dyDescent="0.25">
      <c r="A173" s="368" t="s">
        <v>38</v>
      </c>
      <c r="B173" s="368" t="s">
        <v>340</v>
      </c>
      <c r="C173" s="372" t="s">
        <v>326</v>
      </c>
      <c r="D173" s="359" t="s">
        <v>139</v>
      </c>
      <c r="E173" s="168"/>
      <c r="F173" s="168"/>
      <c r="G173" s="168"/>
      <c r="H173" s="588"/>
      <c r="I173" s="569"/>
      <c r="J173" s="569"/>
      <c r="K173" s="569"/>
      <c r="L173" s="569"/>
      <c r="M173" s="189"/>
      <c r="N173" s="189"/>
      <c r="O173" s="189"/>
      <c r="P173" s="189"/>
      <c r="Q173" s="189"/>
      <c r="R173" s="189"/>
      <c r="S173" s="189"/>
      <c r="T173" s="189"/>
      <c r="U173" s="14">
        <f t="shared" si="5"/>
        <v>0</v>
      </c>
      <c r="V173" s="196">
        <f t="shared" si="6"/>
        <v>0</v>
      </c>
      <c r="W173" s="188">
        <v>12</v>
      </c>
      <c r="X173" s="188">
        <v>6</v>
      </c>
      <c r="Y173" s="188">
        <v>4</v>
      </c>
      <c r="Z173" s="189"/>
      <c r="AA173" s="189"/>
      <c r="AB173" s="189"/>
      <c r="AC173" s="189"/>
    </row>
    <row r="174" spans="1:29" x14ac:dyDescent="0.25">
      <c r="A174" s="368" t="s">
        <v>38</v>
      </c>
      <c r="B174" s="368" t="s">
        <v>325</v>
      </c>
      <c r="C174" s="372" t="s">
        <v>326</v>
      </c>
      <c r="D174" s="359" t="s">
        <v>150</v>
      </c>
      <c r="E174" s="168"/>
      <c r="F174" s="168"/>
      <c r="G174" s="168"/>
      <c r="H174" s="588"/>
      <c r="I174" s="569"/>
      <c r="J174" s="569"/>
      <c r="K174" s="569"/>
      <c r="L174" s="569"/>
      <c r="M174" s="189"/>
      <c r="N174" s="189"/>
      <c r="O174" s="189"/>
      <c r="P174" s="189"/>
      <c r="Q174" s="189"/>
      <c r="R174" s="189"/>
      <c r="S174" s="189"/>
      <c r="T174" s="189"/>
      <c r="U174" s="14">
        <f t="shared" si="5"/>
        <v>0</v>
      </c>
      <c r="V174" s="196">
        <f t="shared" si="6"/>
        <v>0</v>
      </c>
      <c r="W174" s="188">
        <v>12</v>
      </c>
      <c r="X174" s="188">
        <v>6</v>
      </c>
      <c r="Y174" s="188">
        <v>4</v>
      </c>
      <c r="Z174" s="189"/>
      <c r="AA174" s="189"/>
      <c r="AB174" s="189"/>
      <c r="AC174" s="189"/>
    </row>
    <row r="175" spans="1:29" x14ac:dyDescent="0.25">
      <c r="A175" s="368" t="s">
        <v>38</v>
      </c>
      <c r="B175" s="368" t="s">
        <v>327</v>
      </c>
      <c r="C175" s="372" t="s">
        <v>326</v>
      </c>
      <c r="D175" s="359" t="s">
        <v>137</v>
      </c>
      <c r="E175" s="168"/>
      <c r="F175" s="168"/>
      <c r="G175" s="168"/>
      <c r="H175" s="588"/>
      <c r="I175" s="569"/>
      <c r="J175" s="569"/>
      <c r="K175" s="569"/>
      <c r="L175" s="569"/>
      <c r="M175" s="189"/>
      <c r="N175" s="189"/>
      <c r="O175" s="189"/>
      <c r="P175" s="189"/>
      <c r="Q175" s="189"/>
      <c r="R175" s="189"/>
      <c r="S175" s="189"/>
      <c r="T175" s="189"/>
      <c r="U175" s="14">
        <f t="shared" si="5"/>
        <v>0</v>
      </c>
      <c r="V175" s="196">
        <f t="shared" si="6"/>
        <v>0</v>
      </c>
      <c r="W175" s="188">
        <v>12</v>
      </c>
      <c r="X175" s="188">
        <v>6</v>
      </c>
      <c r="Y175" s="188">
        <v>4</v>
      </c>
      <c r="Z175" s="189"/>
      <c r="AA175" s="189"/>
      <c r="AB175" s="189"/>
      <c r="AC175" s="189"/>
    </row>
    <row r="176" spans="1:29" x14ac:dyDescent="0.25">
      <c r="A176" s="368" t="s">
        <v>38</v>
      </c>
      <c r="B176" s="368" t="s">
        <v>260</v>
      </c>
      <c r="C176" s="372" t="s">
        <v>147</v>
      </c>
      <c r="D176" s="359" t="s">
        <v>150</v>
      </c>
      <c r="E176" s="168"/>
      <c r="F176" s="168"/>
      <c r="G176" s="168"/>
      <c r="H176" s="588"/>
      <c r="I176" s="569"/>
      <c r="J176" s="569"/>
      <c r="K176" s="569"/>
      <c r="L176" s="569"/>
      <c r="M176" s="189"/>
      <c r="N176" s="189"/>
      <c r="O176" s="189"/>
      <c r="P176" s="189"/>
      <c r="Q176" s="189"/>
      <c r="R176" s="189"/>
      <c r="S176" s="189"/>
      <c r="T176" s="189"/>
      <c r="U176" s="14">
        <f t="shared" si="5"/>
        <v>0</v>
      </c>
      <c r="V176" s="196">
        <f t="shared" si="6"/>
        <v>0</v>
      </c>
      <c r="W176" s="188">
        <v>12</v>
      </c>
      <c r="X176" s="188">
        <v>6</v>
      </c>
      <c r="Y176" s="188">
        <v>4</v>
      </c>
      <c r="Z176" s="189"/>
      <c r="AA176" s="189"/>
      <c r="AB176" s="189"/>
      <c r="AC176" s="189"/>
    </row>
    <row r="177" spans="1:29" x14ac:dyDescent="0.25">
      <c r="A177" s="368" t="s">
        <v>38</v>
      </c>
      <c r="B177" s="368" t="s">
        <v>262</v>
      </c>
      <c r="C177" s="372" t="s">
        <v>147</v>
      </c>
      <c r="D177" s="359" t="s">
        <v>150</v>
      </c>
      <c r="E177" s="168"/>
      <c r="F177" s="168"/>
      <c r="G177" s="168"/>
      <c r="H177" s="588"/>
      <c r="I177" s="569"/>
      <c r="J177" s="569"/>
      <c r="K177" s="569"/>
      <c r="L177" s="569"/>
      <c r="M177" s="189"/>
      <c r="N177" s="189"/>
      <c r="O177" s="189"/>
      <c r="P177" s="189"/>
      <c r="Q177" s="189"/>
      <c r="R177" s="189"/>
      <c r="S177" s="189"/>
      <c r="T177" s="189"/>
      <c r="U177" s="14">
        <f t="shared" si="5"/>
        <v>0</v>
      </c>
      <c r="V177" s="196">
        <f t="shared" si="6"/>
        <v>0</v>
      </c>
      <c r="W177" s="188">
        <v>12</v>
      </c>
      <c r="X177" s="188">
        <v>6</v>
      </c>
      <c r="Y177" s="188">
        <v>4</v>
      </c>
      <c r="Z177" s="189"/>
      <c r="AA177" s="189"/>
      <c r="AB177" s="189"/>
      <c r="AC177" s="189"/>
    </row>
    <row r="178" spans="1:29" x14ac:dyDescent="0.25">
      <c r="A178" s="368" t="s">
        <v>38</v>
      </c>
      <c r="B178" s="368" t="s">
        <v>261</v>
      </c>
      <c r="C178" s="372" t="s">
        <v>147</v>
      </c>
      <c r="D178" s="359" t="s">
        <v>137</v>
      </c>
      <c r="E178" s="168"/>
      <c r="F178" s="168"/>
      <c r="G178" s="168"/>
      <c r="H178" s="588"/>
      <c r="I178" s="569"/>
      <c r="J178" s="569"/>
      <c r="K178" s="569"/>
      <c r="L178" s="569"/>
      <c r="M178" s="189"/>
      <c r="N178" s="189"/>
      <c r="O178" s="189"/>
      <c r="P178" s="189"/>
      <c r="Q178" s="189"/>
      <c r="R178" s="189"/>
      <c r="S178" s="189"/>
      <c r="T178" s="189"/>
      <c r="U178" s="14">
        <f t="shared" si="5"/>
        <v>0</v>
      </c>
      <c r="V178" s="196">
        <f t="shared" si="6"/>
        <v>0</v>
      </c>
      <c r="W178" s="188">
        <v>12</v>
      </c>
      <c r="X178" s="188">
        <v>6</v>
      </c>
      <c r="Y178" s="188">
        <v>4</v>
      </c>
      <c r="Z178" s="189"/>
      <c r="AA178" s="189"/>
      <c r="AB178" s="189"/>
      <c r="AC178" s="189"/>
    </row>
    <row r="179" spans="1:29" x14ac:dyDescent="0.25">
      <c r="A179" s="368" t="s">
        <v>38</v>
      </c>
      <c r="B179" s="368" t="s">
        <v>256</v>
      </c>
      <c r="C179" s="372" t="s">
        <v>147</v>
      </c>
      <c r="D179" s="359" t="s">
        <v>132</v>
      </c>
      <c r="E179" s="168"/>
      <c r="F179" s="168"/>
      <c r="G179" s="168"/>
      <c r="H179" s="588"/>
      <c r="I179" s="569"/>
      <c r="J179" s="569"/>
      <c r="K179" s="569"/>
      <c r="L179" s="569"/>
      <c r="M179" s="189"/>
      <c r="N179" s="189"/>
      <c r="O179" s="189"/>
      <c r="P179" s="189"/>
      <c r="Q179" s="189"/>
      <c r="R179" s="189"/>
      <c r="S179" s="189"/>
      <c r="T179" s="189"/>
      <c r="U179" s="14">
        <f t="shared" si="5"/>
        <v>0</v>
      </c>
      <c r="V179" s="196">
        <f t="shared" si="6"/>
        <v>0</v>
      </c>
      <c r="W179" s="188">
        <v>12</v>
      </c>
      <c r="X179" s="188">
        <v>6</v>
      </c>
      <c r="Y179" s="188">
        <v>4</v>
      </c>
      <c r="Z179" s="189"/>
      <c r="AA179" s="189"/>
      <c r="AB179" s="189"/>
      <c r="AC179" s="189"/>
    </row>
    <row r="180" spans="1:29" x14ac:dyDescent="0.25">
      <c r="A180" s="368" t="s">
        <v>38</v>
      </c>
      <c r="B180" s="368" t="s">
        <v>292</v>
      </c>
      <c r="C180" s="372" t="s">
        <v>293</v>
      </c>
      <c r="D180" s="359" t="s">
        <v>139</v>
      </c>
      <c r="E180" s="168"/>
      <c r="F180" s="168"/>
      <c r="G180" s="168"/>
      <c r="H180" s="588"/>
      <c r="I180" s="569"/>
      <c r="J180" s="569"/>
      <c r="K180" s="569"/>
      <c r="L180" s="569"/>
      <c r="M180" s="189"/>
      <c r="N180" s="189"/>
      <c r="O180" s="189"/>
      <c r="P180" s="189"/>
      <c r="Q180" s="189"/>
      <c r="R180" s="189"/>
      <c r="S180" s="189"/>
      <c r="T180" s="189"/>
      <c r="U180" s="14">
        <f t="shared" si="5"/>
        <v>0</v>
      </c>
      <c r="V180" s="196">
        <f t="shared" si="6"/>
        <v>0</v>
      </c>
      <c r="W180" s="188">
        <v>12</v>
      </c>
      <c r="X180" s="188">
        <v>6</v>
      </c>
      <c r="Y180" s="188">
        <v>4</v>
      </c>
      <c r="Z180" s="189"/>
      <c r="AA180" s="189"/>
      <c r="AB180" s="189"/>
      <c r="AC180" s="189"/>
    </row>
    <row r="181" spans="1:29" x14ac:dyDescent="0.25">
      <c r="A181" s="368" t="s">
        <v>38</v>
      </c>
      <c r="B181" s="368" t="s">
        <v>279</v>
      </c>
      <c r="C181" s="372" t="s">
        <v>280</v>
      </c>
      <c r="D181" s="359" t="s">
        <v>132</v>
      </c>
      <c r="E181" s="168"/>
      <c r="F181" s="168"/>
      <c r="G181" s="168"/>
      <c r="H181" s="588"/>
      <c r="I181" s="569"/>
      <c r="J181" s="569"/>
      <c r="K181" s="569"/>
      <c r="L181" s="569"/>
      <c r="M181" s="189"/>
      <c r="N181" s="189"/>
      <c r="O181" s="189"/>
      <c r="P181" s="189"/>
      <c r="Q181" s="189"/>
      <c r="R181" s="189"/>
      <c r="S181" s="189"/>
      <c r="T181" s="189"/>
      <c r="U181" s="14">
        <f t="shared" si="5"/>
        <v>0</v>
      </c>
      <c r="V181" s="196">
        <f t="shared" si="6"/>
        <v>0</v>
      </c>
      <c r="W181" s="188">
        <v>12</v>
      </c>
      <c r="X181" s="188">
        <v>6</v>
      </c>
      <c r="Y181" s="188">
        <v>4</v>
      </c>
      <c r="Z181" s="189"/>
      <c r="AA181" s="189"/>
      <c r="AB181" s="189"/>
      <c r="AC181" s="189"/>
    </row>
    <row r="182" spans="1:29" x14ac:dyDescent="0.25">
      <c r="A182" s="368" t="s">
        <v>38</v>
      </c>
      <c r="B182" s="368" t="s">
        <v>281</v>
      </c>
      <c r="C182" s="372" t="s">
        <v>280</v>
      </c>
      <c r="D182" s="359" t="s">
        <v>146</v>
      </c>
      <c r="E182" s="168"/>
      <c r="F182" s="168"/>
      <c r="G182" s="168"/>
      <c r="H182" s="588"/>
      <c r="I182" s="569"/>
      <c r="J182" s="569"/>
      <c r="K182" s="569"/>
      <c r="L182" s="569"/>
      <c r="M182" s="189"/>
      <c r="N182" s="189"/>
      <c r="O182" s="189"/>
      <c r="P182" s="189"/>
      <c r="Q182" s="189"/>
      <c r="R182" s="189"/>
      <c r="S182" s="189"/>
      <c r="T182" s="189"/>
      <c r="U182" s="14">
        <f t="shared" si="5"/>
        <v>0</v>
      </c>
      <c r="V182" s="196">
        <f t="shared" si="6"/>
        <v>0</v>
      </c>
      <c r="W182" s="188">
        <v>12</v>
      </c>
      <c r="X182" s="188">
        <v>6</v>
      </c>
      <c r="Y182" s="188">
        <v>4</v>
      </c>
      <c r="Z182" s="189"/>
      <c r="AA182" s="189"/>
      <c r="AB182" s="189"/>
      <c r="AC182" s="189"/>
    </row>
    <row r="183" spans="1:29" ht="16.5" x14ac:dyDescent="0.25">
      <c r="A183" s="368" t="s">
        <v>38</v>
      </c>
      <c r="B183" s="368" t="s">
        <v>251</v>
      </c>
      <c r="C183" s="372" t="s">
        <v>248</v>
      </c>
      <c r="D183" s="359" t="s">
        <v>252</v>
      </c>
      <c r="E183" s="168"/>
      <c r="F183" s="168"/>
      <c r="G183" s="168"/>
      <c r="H183" s="588"/>
      <c r="I183" s="569"/>
      <c r="J183" s="569"/>
      <c r="K183" s="569"/>
      <c r="L183" s="569"/>
      <c r="M183" s="189"/>
      <c r="N183" s="189"/>
      <c r="O183" s="189"/>
      <c r="P183" s="189"/>
      <c r="Q183" s="189"/>
      <c r="R183" s="189"/>
      <c r="S183" s="189"/>
      <c r="T183" s="189"/>
      <c r="U183" s="14">
        <f t="shared" si="5"/>
        <v>0</v>
      </c>
      <c r="V183" s="196">
        <f t="shared" si="6"/>
        <v>0</v>
      </c>
      <c r="W183" s="188">
        <v>12</v>
      </c>
      <c r="X183" s="188">
        <v>6</v>
      </c>
      <c r="Y183" s="188">
        <v>4</v>
      </c>
      <c r="Z183" s="189"/>
      <c r="AA183" s="189"/>
      <c r="AB183" s="189"/>
      <c r="AC183" s="189"/>
    </row>
    <row r="184" spans="1:29" ht="16.5" x14ac:dyDescent="0.25">
      <c r="A184" s="368" t="s">
        <v>38</v>
      </c>
      <c r="B184" s="368" t="s">
        <v>255</v>
      </c>
      <c r="C184" s="372" t="s">
        <v>248</v>
      </c>
      <c r="D184" s="359" t="s">
        <v>137</v>
      </c>
      <c r="E184" s="168"/>
      <c r="F184" s="168"/>
      <c r="G184" s="168"/>
      <c r="H184" s="588"/>
      <c r="I184" s="569"/>
      <c r="J184" s="569"/>
      <c r="K184" s="569"/>
      <c r="L184" s="569"/>
      <c r="M184" s="189"/>
      <c r="N184" s="189"/>
      <c r="O184" s="189"/>
      <c r="P184" s="189"/>
      <c r="Q184" s="189"/>
      <c r="R184" s="189"/>
      <c r="S184" s="189"/>
      <c r="T184" s="189"/>
      <c r="U184" s="14">
        <f t="shared" si="5"/>
        <v>0</v>
      </c>
      <c r="V184" s="196">
        <f t="shared" si="6"/>
        <v>0</v>
      </c>
      <c r="W184" s="188">
        <v>12</v>
      </c>
      <c r="X184" s="188">
        <v>6</v>
      </c>
      <c r="Y184" s="188">
        <v>4</v>
      </c>
      <c r="Z184" s="189"/>
      <c r="AA184" s="189"/>
      <c r="AB184" s="189"/>
      <c r="AC184" s="189"/>
    </row>
    <row r="185" spans="1:29" ht="16.5" x14ac:dyDescent="0.25">
      <c r="A185" s="368" t="s">
        <v>38</v>
      </c>
      <c r="B185" s="368" t="s">
        <v>75</v>
      </c>
      <c r="C185" s="372" t="s">
        <v>248</v>
      </c>
      <c r="D185" s="359" t="s">
        <v>146</v>
      </c>
      <c r="E185" s="168"/>
      <c r="F185" s="168"/>
      <c r="G185" s="168"/>
      <c r="H185" s="588"/>
      <c r="I185" s="569"/>
      <c r="J185" s="569"/>
      <c r="K185" s="569"/>
      <c r="L185" s="569"/>
      <c r="M185" s="189"/>
      <c r="N185" s="189"/>
      <c r="O185" s="189"/>
      <c r="P185" s="189"/>
      <c r="Q185" s="189"/>
      <c r="R185" s="189"/>
      <c r="S185" s="189"/>
      <c r="T185" s="189"/>
      <c r="U185" s="14">
        <f t="shared" si="5"/>
        <v>0</v>
      </c>
      <c r="V185" s="196">
        <f t="shared" si="6"/>
        <v>0</v>
      </c>
      <c r="W185" s="188">
        <v>12</v>
      </c>
      <c r="X185" s="188">
        <v>6</v>
      </c>
      <c r="Y185" s="188">
        <v>4</v>
      </c>
      <c r="Z185" s="189"/>
      <c r="AA185" s="189"/>
      <c r="AB185" s="189"/>
      <c r="AC185" s="189"/>
    </row>
    <row r="186" spans="1:29" x14ac:dyDescent="0.25">
      <c r="A186" s="368" t="s">
        <v>38</v>
      </c>
      <c r="B186" s="368" t="s">
        <v>1131</v>
      </c>
      <c r="C186" s="372" t="s">
        <v>268</v>
      </c>
      <c r="D186" s="359" t="s">
        <v>1133</v>
      </c>
      <c r="E186" s="168"/>
      <c r="F186" s="168"/>
      <c r="G186" s="168"/>
      <c r="H186" s="588"/>
      <c r="I186" s="569"/>
      <c r="J186" s="569"/>
      <c r="K186" s="569"/>
      <c r="L186" s="569"/>
      <c r="M186" s="184"/>
      <c r="N186" s="189"/>
      <c r="O186" s="189"/>
      <c r="P186" s="189"/>
      <c r="Q186" s="189"/>
      <c r="R186" s="189"/>
      <c r="S186" s="189"/>
      <c r="T186" s="189"/>
      <c r="U186" s="14">
        <f t="shared" si="5"/>
        <v>0</v>
      </c>
      <c r="V186" s="196">
        <f t="shared" si="6"/>
        <v>0</v>
      </c>
      <c r="W186" s="188"/>
      <c r="X186" s="188"/>
      <c r="Y186" s="188"/>
      <c r="Z186" s="189"/>
      <c r="AA186" s="189"/>
      <c r="AB186" s="189"/>
      <c r="AC186" s="189"/>
    </row>
    <row r="187" spans="1:29" x14ac:dyDescent="0.25">
      <c r="A187" s="368" t="s">
        <v>38</v>
      </c>
      <c r="B187" s="368" t="s">
        <v>1132</v>
      </c>
      <c r="C187" s="372" t="s">
        <v>268</v>
      </c>
      <c r="D187" s="359"/>
      <c r="E187" s="168"/>
      <c r="F187" s="168"/>
      <c r="G187" s="168"/>
      <c r="H187" s="588"/>
      <c r="I187" s="569"/>
      <c r="J187" s="569"/>
      <c r="K187" s="569"/>
      <c r="L187" s="569"/>
      <c r="M187" s="184"/>
      <c r="N187" s="189"/>
      <c r="O187" s="189"/>
      <c r="P187" s="189"/>
      <c r="Q187" s="189"/>
      <c r="R187" s="189"/>
      <c r="S187" s="189"/>
      <c r="T187" s="189"/>
      <c r="U187" s="14">
        <f t="shared" si="5"/>
        <v>0</v>
      </c>
      <c r="V187" s="196">
        <f t="shared" si="6"/>
        <v>0</v>
      </c>
      <c r="W187" s="188"/>
      <c r="X187" s="188"/>
      <c r="Y187" s="188"/>
      <c r="Z187" s="189"/>
      <c r="AA187" s="189"/>
      <c r="AB187" s="189"/>
      <c r="AC187" s="189"/>
    </row>
    <row r="188" spans="1:29" ht="16.5" x14ac:dyDescent="0.25">
      <c r="A188" s="368" t="s">
        <v>38</v>
      </c>
      <c r="B188" s="368" t="s">
        <v>294</v>
      </c>
      <c r="C188" s="372" t="s">
        <v>295</v>
      </c>
      <c r="D188" s="359" t="s">
        <v>132</v>
      </c>
      <c r="E188" s="168"/>
      <c r="F188" s="168"/>
      <c r="G188" s="168"/>
      <c r="H188" s="588"/>
      <c r="I188" s="569"/>
      <c r="J188" s="569"/>
      <c r="K188" s="569"/>
      <c r="L188" s="569"/>
      <c r="M188" s="189"/>
      <c r="N188" s="189"/>
      <c r="O188" s="189"/>
      <c r="P188" s="189"/>
      <c r="Q188" s="189"/>
      <c r="R188" s="189"/>
      <c r="S188" s="189"/>
      <c r="T188" s="189"/>
      <c r="U188" s="14">
        <f t="shared" si="5"/>
        <v>0</v>
      </c>
      <c r="V188" s="196">
        <f t="shared" si="6"/>
        <v>0</v>
      </c>
      <c r="W188" s="188">
        <v>12</v>
      </c>
      <c r="X188" s="188">
        <v>6</v>
      </c>
      <c r="Y188" s="188">
        <v>4</v>
      </c>
      <c r="Z188" s="189"/>
      <c r="AA188" s="189"/>
      <c r="AB188" s="189"/>
      <c r="AC188" s="189"/>
    </row>
    <row r="189" spans="1:29" ht="16.5" x14ac:dyDescent="0.25">
      <c r="A189" s="368" t="s">
        <v>38</v>
      </c>
      <c r="B189" s="368" t="s">
        <v>335</v>
      </c>
      <c r="C189" s="372" t="s">
        <v>154</v>
      </c>
      <c r="D189" s="359" t="s">
        <v>139</v>
      </c>
      <c r="E189" s="168"/>
      <c r="F189" s="168"/>
      <c r="G189" s="168"/>
      <c r="H189" s="588"/>
      <c r="I189" s="569"/>
      <c r="J189" s="569"/>
      <c r="K189" s="569"/>
      <c r="L189" s="569"/>
      <c r="M189" s="189"/>
      <c r="N189" s="189"/>
      <c r="O189" s="189"/>
      <c r="P189" s="189"/>
      <c r="Q189" s="189"/>
      <c r="R189" s="189"/>
      <c r="S189" s="189"/>
      <c r="T189" s="189"/>
      <c r="U189" s="14">
        <f t="shared" si="5"/>
        <v>0</v>
      </c>
      <c r="V189" s="196">
        <f t="shared" si="6"/>
        <v>0</v>
      </c>
      <c r="W189" s="188">
        <v>12</v>
      </c>
      <c r="X189" s="188">
        <v>6</v>
      </c>
      <c r="Y189" s="188">
        <v>4</v>
      </c>
      <c r="Z189" s="189"/>
      <c r="AA189" s="189"/>
      <c r="AB189" s="189"/>
      <c r="AC189" s="189"/>
    </row>
    <row r="190" spans="1:29" ht="16.5" x14ac:dyDescent="0.25">
      <c r="A190" s="368" t="s">
        <v>38</v>
      </c>
      <c r="B190" s="368" t="s">
        <v>338</v>
      </c>
      <c r="C190" s="372" t="s">
        <v>154</v>
      </c>
      <c r="D190" s="359" t="s">
        <v>137</v>
      </c>
      <c r="E190" s="168"/>
      <c r="F190" s="168"/>
      <c r="G190" s="168"/>
      <c r="H190" s="588"/>
      <c r="I190" s="569"/>
      <c r="J190" s="569"/>
      <c r="K190" s="569"/>
      <c r="L190" s="569"/>
      <c r="M190" s="189"/>
      <c r="N190" s="189"/>
      <c r="O190" s="189"/>
      <c r="P190" s="189"/>
      <c r="Q190" s="189"/>
      <c r="R190" s="189"/>
      <c r="S190" s="189"/>
      <c r="T190" s="189"/>
      <c r="U190" s="14">
        <f t="shared" si="5"/>
        <v>0</v>
      </c>
      <c r="V190" s="196">
        <f t="shared" si="6"/>
        <v>0</v>
      </c>
      <c r="W190" s="188">
        <v>12</v>
      </c>
      <c r="X190" s="188">
        <v>6</v>
      </c>
      <c r="Y190" s="188">
        <v>4</v>
      </c>
      <c r="Z190" s="189"/>
      <c r="AA190" s="189"/>
      <c r="AB190" s="189"/>
      <c r="AC190" s="189"/>
    </row>
    <row r="191" spans="1:29" ht="16.5" x14ac:dyDescent="0.25">
      <c r="A191" s="368" t="s">
        <v>38</v>
      </c>
      <c r="B191" s="368" t="s">
        <v>332</v>
      </c>
      <c r="C191" s="372" t="s">
        <v>154</v>
      </c>
      <c r="D191" s="359" t="s">
        <v>259</v>
      </c>
      <c r="E191" s="168"/>
      <c r="F191" s="168"/>
      <c r="G191" s="168"/>
      <c r="H191" s="588"/>
      <c r="I191" s="569"/>
      <c r="J191" s="569"/>
      <c r="K191" s="569"/>
      <c r="L191" s="569"/>
      <c r="M191" s="189"/>
      <c r="N191" s="189"/>
      <c r="O191" s="189"/>
      <c r="P191" s="189"/>
      <c r="Q191" s="189"/>
      <c r="R191" s="189"/>
      <c r="S191" s="189"/>
      <c r="T191" s="189"/>
      <c r="U191" s="14">
        <f t="shared" si="5"/>
        <v>0</v>
      </c>
      <c r="V191" s="196">
        <f t="shared" si="6"/>
        <v>0</v>
      </c>
      <c r="W191" s="188">
        <v>12</v>
      </c>
      <c r="X191" s="188">
        <v>6</v>
      </c>
      <c r="Y191" s="188">
        <v>4</v>
      </c>
      <c r="Z191" s="189"/>
      <c r="AA191" s="189"/>
      <c r="AB191" s="189"/>
      <c r="AC191" s="189"/>
    </row>
    <row r="192" spans="1:29" ht="16.5" x14ac:dyDescent="0.25">
      <c r="A192" s="368" t="s">
        <v>38</v>
      </c>
      <c r="B192" s="368" t="s">
        <v>336</v>
      </c>
      <c r="C192" s="372" t="s">
        <v>334</v>
      </c>
      <c r="D192" s="359" t="s">
        <v>139</v>
      </c>
      <c r="E192" s="168"/>
      <c r="F192" s="168"/>
      <c r="G192" s="168"/>
      <c r="H192" s="588"/>
      <c r="I192" s="569"/>
      <c r="J192" s="569"/>
      <c r="K192" s="569"/>
      <c r="L192" s="569"/>
      <c r="M192" s="189"/>
      <c r="N192" s="189"/>
      <c r="O192" s="189"/>
      <c r="P192" s="189"/>
      <c r="Q192" s="189"/>
      <c r="R192" s="189"/>
      <c r="S192" s="189"/>
      <c r="T192" s="189"/>
      <c r="U192" s="14">
        <f t="shared" si="5"/>
        <v>0</v>
      </c>
      <c r="V192" s="196">
        <f t="shared" si="6"/>
        <v>0</v>
      </c>
      <c r="W192" s="188">
        <v>12</v>
      </c>
      <c r="X192" s="188">
        <v>6</v>
      </c>
      <c r="Y192" s="188">
        <v>4</v>
      </c>
      <c r="Z192" s="189"/>
      <c r="AA192" s="189"/>
      <c r="AB192" s="189"/>
      <c r="AC192" s="189"/>
    </row>
    <row r="193" spans="1:29" ht="16.5" x14ac:dyDescent="0.25">
      <c r="A193" s="368" t="s">
        <v>38</v>
      </c>
      <c r="B193" s="368" t="s">
        <v>337</v>
      </c>
      <c r="C193" s="372" t="s">
        <v>334</v>
      </c>
      <c r="D193" s="359" t="s">
        <v>150</v>
      </c>
      <c r="E193" s="168"/>
      <c r="F193" s="168"/>
      <c r="G193" s="168"/>
      <c r="H193" s="588"/>
      <c r="I193" s="569"/>
      <c r="J193" s="569"/>
      <c r="K193" s="569"/>
      <c r="L193" s="569"/>
      <c r="M193" s="189"/>
      <c r="N193" s="189"/>
      <c r="O193" s="189"/>
      <c r="P193" s="189"/>
      <c r="Q193" s="189"/>
      <c r="R193" s="189"/>
      <c r="S193" s="189"/>
      <c r="T193" s="189"/>
      <c r="U193" s="14">
        <f t="shared" si="5"/>
        <v>0</v>
      </c>
      <c r="V193" s="196">
        <f t="shared" si="6"/>
        <v>0</v>
      </c>
      <c r="W193" s="188">
        <v>12</v>
      </c>
      <c r="X193" s="188">
        <v>6</v>
      </c>
      <c r="Y193" s="188">
        <v>4</v>
      </c>
      <c r="Z193" s="189"/>
      <c r="AA193" s="189"/>
      <c r="AB193" s="189"/>
      <c r="AC193" s="189"/>
    </row>
    <row r="194" spans="1:29" ht="16.5" x14ac:dyDescent="0.25">
      <c r="A194" s="368" t="s">
        <v>38</v>
      </c>
      <c r="B194" s="368" t="s">
        <v>339</v>
      </c>
      <c r="C194" s="372" t="s">
        <v>334</v>
      </c>
      <c r="D194" s="359" t="s">
        <v>137</v>
      </c>
      <c r="E194" s="168"/>
      <c r="F194" s="168"/>
      <c r="G194" s="168"/>
      <c r="H194" s="588"/>
      <c r="I194" s="569"/>
      <c r="J194" s="569"/>
      <c r="K194" s="569"/>
      <c r="L194" s="569"/>
      <c r="M194" s="189"/>
      <c r="N194" s="189"/>
      <c r="O194" s="189"/>
      <c r="P194" s="189"/>
      <c r="Q194" s="189"/>
      <c r="R194" s="189"/>
      <c r="S194" s="189"/>
      <c r="T194" s="189"/>
      <c r="U194" s="14">
        <f t="shared" si="5"/>
        <v>0</v>
      </c>
      <c r="V194" s="196">
        <f t="shared" si="6"/>
        <v>0</v>
      </c>
      <c r="W194" s="188">
        <v>12</v>
      </c>
      <c r="X194" s="188">
        <v>6</v>
      </c>
      <c r="Y194" s="188">
        <v>4</v>
      </c>
      <c r="Z194" s="189"/>
      <c r="AA194" s="189"/>
      <c r="AB194" s="189"/>
      <c r="AC194" s="189"/>
    </row>
    <row r="195" spans="1:29" ht="16.5" x14ac:dyDescent="0.25">
      <c r="A195" s="368" t="s">
        <v>38</v>
      </c>
      <c r="B195" s="368" t="s">
        <v>333</v>
      </c>
      <c r="C195" s="372" t="s">
        <v>334</v>
      </c>
      <c r="D195" s="359" t="s">
        <v>259</v>
      </c>
      <c r="E195" s="168"/>
      <c r="F195" s="168"/>
      <c r="G195" s="168"/>
      <c r="H195" s="588"/>
      <c r="I195" s="569"/>
      <c r="J195" s="569"/>
      <c r="K195" s="569"/>
      <c r="L195" s="569"/>
      <c r="M195" s="189"/>
      <c r="N195" s="189"/>
      <c r="O195" s="189"/>
      <c r="P195" s="189"/>
      <c r="Q195" s="189"/>
      <c r="R195" s="189"/>
      <c r="S195" s="189"/>
      <c r="T195" s="189"/>
      <c r="U195" s="14">
        <f t="shared" si="5"/>
        <v>0</v>
      </c>
      <c r="V195" s="196">
        <f t="shared" si="6"/>
        <v>0</v>
      </c>
      <c r="W195" s="188">
        <v>12</v>
      </c>
      <c r="X195" s="188">
        <v>6</v>
      </c>
      <c r="Y195" s="188">
        <v>4</v>
      </c>
      <c r="Z195" s="189"/>
      <c r="AA195" s="189"/>
      <c r="AB195" s="189"/>
      <c r="AC195" s="189"/>
    </row>
    <row r="196" spans="1:29" x14ac:dyDescent="0.25">
      <c r="A196" s="368" t="s">
        <v>38</v>
      </c>
      <c r="B196" s="368" t="s">
        <v>318</v>
      </c>
      <c r="C196" s="372" t="s">
        <v>317</v>
      </c>
      <c r="D196" s="359" t="s">
        <v>139</v>
      </c>
      <c r="E196" s="168"/>
      <c r="F196" s="168"/>
      <c r="G196" s="168"/>
      <c r="H196" s="588"/>
      <c r="I196" s="569"/>
      <c r="J196" s="569"/>
      <c r="K196" s="569"/>
      <c r="L196" s="569"/>
      <c r="M196" s="189"/>
      <c r="N196" s="189"/>
      <c r="O196" s="189"/>
      <c r="P196" s="189"/>
      <c r="Q196" s="189"/>
      <c r="R196" s="189"/>
      <c r="S196" s="189"/>
      <c r="T196" s="189"/>
      <c r="U196" s="14">
        <f t="shared" ref="U196:U221" si="7">SUM(I196:T196)</f>
        <v>0</v>
      </c>
      <c r="V196" s="196">
        <f t="shared" ref="V196:V221" si="8">IF(X196=0,0,(U196/52*(W196+X196+Y196))-E196-F196+G196)</f>
        <v>0</v>
      </c>
      <c r="W196" s="188">
        <v>12</v>
      </c>
      <c r="X196" s="188">
        <v>6</v>
      </c>
      <c r="Y196" s="188">
        <v>4</v>
      </c>
      <c r="Z196" s="189"/>
      <c r="AA196" s="189"/>
      <c r="AB196" s="189"/>
      <c r="AC196" s="189"/>
    </row>
    <row r="197" spans="1:29" x14ac:dyDescent="0.25">
      <c r="A197" s="368" t="s">
        <v>38</v>
      </c>
      <c r="B197" s="368" t="s">
        <v>319</v>
      </c>
      <c r="C197" s="372" t="s">
        <v>317</v>
      </c>
      <c r="D197" s="359" t="s">
        <v>150</v>
      </c>
      <c r="E197" s="168"/>
      <c r="F197" s="168"/>
      <c r="G197" s="168"/>
      <c r="H197" s="588"/>
      <c r="I197" s="569"/>
      <c r="J197" s="569"/>
      <c r="K197" s="569"/>
      <c r="L197" s="569"/>
      <c r="M197" s="189"/>
      <c r="N197" s="189"/>
      <c r="O197" s="189"/>
      <c r="P197" s="189"/>
      <c r="Q197" s="189"/>
      <c r="R197" s="189"/>
      <c r="S197" s="189"/>
      <c r="T197" s="189"/>
      <c r="U197" s="14">
        <f t="shared" si="7"/>
        <v>0</v>
      </c>
      <c r="V197" s="196">
        <f t="shared" si="8"/>
        <v>0</v>
      </c>
      <c r="W197" s="188">
        <v>12</v>
      </c>
      <c r="X197" s="188">
        <v>6</v>
      </c>
      <c r="Y197" s="188">
        <v>4</v>
      </c>
      <c r="Z197" s="189"/>
      <c r="AA197" s="189"/>
      <c r="AB197" s="189"/>
      <c r="AC197" s="189"/>
    </row>
    <row r="198" spans="1:29" x14ac:dyDescent="0.25">
      <c r="A198" s="368" t="s">
        <v>38</v>
      </c>
      <c r="B198" s="368" t="s">
        <v>320</v>
      </c>
      <c r="C198" s="372" t="s">
        <v>317</v>
      </c>
      <c r="D198" s="359" t="s">
        <v>137</v>
      </c>
      <c r="E198" s="168"/>
      <c r="F198" s="168"/>
      <c r="G198" s="168"/>
      <c r="H198" s="588"/>
      <c r="I198" s="569"/>
      <c r="J198" s="569"/>
      <c r="K198" s="569"/>
      <c r="L198" s="569"/>
      <c r="M198" s="189"/>
      <c r="N198" s="189"/>
      <c r="O198" s="189"/>
      <c r="P198" s="189"/>
      <c r="Q198" s="189"/>
      <c r="R198" s="189"/>
      <c r="S198" s="189"/>
      <c r="T198" s="189"/>
      <c r="U198" s="14">
        <f t="shared" si="7"/>
        <v>0</v>
      </c>
      <c r="V198" s="196">
        <f t="shared" si="8"/>
        <v>0</v>
      </c>
      <c r="W198" s="188">
        <v>12</v>
      </c>
      <c r="X198" s="188">
        <v>6</v>
      </c>
      <c r="Y198" s="188">
        <v>4</v>
      </c>
      <c r="Z198" s="189"/>
      <c r="AA198" s="189"/>
      <c r="AB198" s="189"/>
      <c r="AC198" s="189"/>
    </row>
    <row r="199" spans="1:29" x14ac:dyDescent="0.25">
      <c r="A199" s="368" t="s">
        <v>38</v>
      </c>
      <c r="B199" s="368" t="s">
        <v>316</v>
      </c>
      <c r="C199" s="372" t="s">
        <v>317</v>
      </c>
      <c r="D199" s="359" t="s">
        <v>259</v>
      </c>
      <c r="E199" s="168"/>
      <c r="F199" s="168"/>
      <c r="G199" s="168"/>
      <c r="H199" s="588"/>
      <c r="I199" s="569"/>
      <c r="J199" s="569"/>
      <c r="K199" s="569"/>
      <c r="L199" s="569"/>
      <c r="M199" s="189"/>
      <c r="N199" s="189"/>
      <c r="O199" s="189"/>
      <c r="P199" s="189"/>
      <c r="Q199" s="189"/>
      <c r="R199" s="189"/>
      <c r="S199" s="189"/>
      <c r="T199" s="189"/>
      <c r="U199" s="14">
        <f t="shared" si="7"/>
        <v>0</v>
      </c>
      <c r="V199" s="196">
        <f t="shared" si="8"/>
        <v>0</v>
      </c>
      <c r="W199" s="188">
        <v>12</v>
      </c>
      <c r="X199" s="188">
        <v>6</v>
      </c>
      <c r="Y199" s="188">
        <v>4</v>
      </c>
      <c r="Z199" s="189"/>
      <c r="AA199" s="189"/>
      <c r="AB199" s="189"/>
      <c r="AC199" s="189"/>
    </row>
    <row r="200" spans="1:29" x14ac:dyDescent="0.25">
      <c r="A200" s="368" t="s">
        <v>38</v>
      </c>
      <c r="B200" s="368" t="s">
        <v>321</v>
      </c>
      <c r="C200" s="372" t="s">
        <v>322</v>
      </c>
      <c r="D200" s="359" t="s">
        <v>139</v>
      </c>
      <c r="E200" s="168"/>
      <c r="F200" s="168"/>
      <c r="G200" s="168"/>
      <c r="H200" s="588"/>
      <c r="I200" s="569"/>
      <c r="J200" s="569"/>
      <c r="K200" s="569"/>
      <c r="L200" s="569"/>
      <c r="M200" s="189"/>
      <c r="N200" s="189"/>
      <c r="O200" s="189"/>
      <c r="P200" s="189"/>
      <c r="Q200" s="189"/>
      <c r="R200" s="189"/>
      <c r="S200" s="189"/>
      <c r="T200" s="189"/>
      <c r="U200" s="14">
        <f t="shared" si="7"/>
        <v>0</v>
      </c>
      <c r="V200" s="196">
        <f t="shared" si="8"/>
        <v>0</v>
      </c>
      <c r="W200" s="188">
        <v>12</v>
      </c>
      <c r="X200" s="188">
        <v>6</v>
      </c>
      <c r="Y200" s="188">
        <v>4</v>
      </c>
      <c r="Z200" s="189"/>
      <c r="AA200" s="189"/>
      <c r="AB200" s="189"/>
      <c r="AC200" s="189"/>
    </row>
    <row r="201" spans="1:29" x14ac:dyDescent="0.25">
      <c r="A201" s="368" t="s">
        <v>38</v>
      </c>
      <c r="B201" s="368" t="s">
        <v>323</v>
      </c>
      <c r="C201" s="372" t="s">
        <v>322</v>
      </c>
      <c r="D201" s="359" t="s">
        <v>150</v>
      </c>
      <c r="E201" s="168"/>
      <c r="F201" s="168"/>
      <c r="G201" s="168"/>
      <c r="H201" s="588"/>
      <c r="I201" s="569"/>
      <c r="J201" s="569"/>
      <c r="K201" s="569"/>
      <c r="L201" s="569"/>
      <c r="M201" s="189"/>
      <c r="N201" s="189"/>
      <c r="O201" s="189"/>
      <c r="P201" s="189"/>
      <c r="Q201" s="189"/>
      <c r="R201" s="189"/>
      <c r="S201" s="189"/>
      <c r="T201" s="189"/>
      <c r="U201" s="14">
        <f t="shared" si="7"/>
        <v>0</v>
      </c>
      <c r="V201" s="196">
        <f t="shared" si="8"/>
        <v>0</v>
      </c>
      <c r="W201" s="188">
        <v>12</v>
      </c>
      <c r="X201" s="188">
        <v>6</v>
      </c>
      <c r="Y201" s="188">
        <v>4</v>
      </c>
      <c r="Z201" s="189"/>
      <c r="AA201" s="189"/>
      <c r="AB201" s="189"/>
      <c r="AC201" s="189"/>
    </row>
    <row r="202" spans="1:29" x14ac:dyDescent="0.25">
      <c r="A202" s="368" t="s">
        <v>38</v>
      </c>
      <c r="B202" s="368" t="s">
        <v>324</v>
      </c>
      <c r="C202" s="372" t="s">
        <v>322</v>
      </c>
      <c r="D202" s="359" t="s">
        <v>137</v>
      </c>
      <c r="E202" s="168"/>
      <c r="F202" s="168"/>
      <c r="G202" s="168"/>
      <c r="H202" s="588"/>
      <c r="I202" s="569"/>
      <c r="J202" s="569"/>
      <c r="K202" s="569"/>
      <c r="L202" s="569"/>
      <c r="M202" s="189"/>
      <c r="N202" s="189"/>
      <c r="O202" s="189"/>
      <c r="P202" s="189"/>
      <c r="Q202" s="189"/>
      <c r="R202" s="189"/>
      <c r="S202" s="189"/>
      <c r="T202" s="189"/>
      <c r="U202" s="14">
        <f t="shared" si="7"/>
        <v>0</v>
      </c>
      <c r="V202" s="196">
        <f t="shared" si="8"/>
        <v>0</v>
      </c>
      <c r="W202" s="188">
        <v>12</v>
      </c>
      <c r="X202" s="188">
        <v>6</v>
      </c>
      <c r="Y202" s="188">
        <v>4</v>
      </c>
      <c r="Z202" s="189"/>
      <c r="AA202" s="189"/>
      <c r="AB202" s="189"/>
      <c r="AC202" s="189"/>
    </row>
    <row r="203" spans="1:29" x14ac:dyDescent="0.25">
      <c r="A203" s="368" t="s">
        <v>38</v>
      </c>
      <c r="B203" s="368" t="s">
        <v>282</v>
      </c>
      <c r="C203" s="372" t="s">
        <v>283</v>
      </c>
      <c r="D203" s="359" t="s">
        <v>150</v>
      </c>
      <c r="E203" s="168"/>
      <c r="F203" s="168"/>
      <c r="G203" s="168"/>
      <c r="H203" s="588"/>
      <c r="I203" s="569"/>
      <c r="J203" s="569"/>
      <c r="K203" s="569"/>
      <c r="L203" s="569"/>
      <c r="M203" s="189"/>
      <c r="N203" s="189"/>
      <c r="O203" s="189"/>
      <c r="P203" s="189"/>
      <c r="Q203" s="189"/>
      <c r="R203" s="189"/>
      <c r="S203" s="189"/>
      <c r="T203" s="189"/>
      <c r="U203" s="14">
        <f t="shared" si="7"/>
        <v>0</v>
      </c>
      <c r="V203" s="196">
        <f t="shared" si="8"/>
        <v>0</v>
      </c>
      <c r="W203" s="188">
        <v>12</v>
      </c>
      <c r="X203" s="188">
        <v>6</v>
      </c>
      <c r="Y203" s="188">
        <v>4</v>
      </c>
      <c r="Z203" s="189"/>
      <c r="AA203" s="189"/>
      <c r="AB203" s="189"/>
      <c r="AC203" s="189"/>
    </row>
    <row r="204" spans="1:29" x14ac:dyDescent="0.25">
      <c r="A204" s="368" t="s">
        <v>38</v>
      </c>
      <c r="B204" s="368" t="s">
        <v>284</v>
      </c>
      <c r="C204" s="372" t="s">
        <v>285</v>
      </c>
      <c r="D204" s="359" t="s">
        <v>137</v>
      </c>
      <c r="E204" s="168"/>
      <c r="F204" s="168"/>
      <c r="G204" s="168"/>
      <c r="H204" s="588"/>
      <c r="I204" s="569"/>
      <c r="J204" s="569"/>
      <c r="K204" s="569"/>
      <c r="L204" s="569"/>
      <c r="M204" s="189"/>
      <c r="N204" s="189"/>
      <c r="O204" s="189"/>
      <c r="P204" s="189"/>
      <c r="Q204" s="189"/>
      <c r="R204" s="189"/>
      <c r="S204" s="189"/>
      <c r="T204" s="189"/>
      <c r="U204" s="14">
        <f t="shared" si="7"/>
        <v>0</v>
      </c>
      <c r="V204" s="196">
        <f t="shared" si="8"/>
        <v>0</v>
      </c>
      <c r="W204" s="188">
        <v>12</v>
      </c>
      <c r="X204" s="188">
        <v>6</v>
      </c>
      <c r="Y204" s="188">
        <v>4</v>
      </c>
      <c r="Z204" s="189"/>
      <c r="AA204" s="189"/>
      <c r="AB204" s="189"/>
      <c r="AC204" s="189"/>
    </row>
    <row r="205" spans="1:29" x14ac:dyDescent="0.25">
      <c r="A205" s="368" t="s">
        <v>38</v>
      </c>
      <c r="B205" s="368" t="s">
        <v>309</v>
      </c>
      <c r="C205" s="372" t="s">
        <v>287</v>
      </c>
      <c r="D205" s="359" t="s">
        <v>139</v>
      </c>
      <c r="E205" s="168"/>
      <c r="F205" s="168"/>
      <c r="G205" s="168"/>
      <c r="H205" s="588"/>
      <c r="I205" s="569"/>
      <c r="J205" s="569"/>
      <c r="K205" s="569"/>
      <c r="L205" s="569"/>
      <c r="M205" s="189"/>
      <c r="N205" s="189"/>
      <c r="O205" s="189"/>
      <c r="P205" s="189"/>
      <c r="Q205" s="189"/>
      <c r="R205" s="189"/>
      <c r="S205" s="189"/>
      <c r="T205" s="189"/>
      <c r="U205" s="14">
        <f t="shared" si="7"/>
        <v>0</v>
      </c>
      <c r="V205" s="196">
        <f t="shared" si="8"/>
        <v>0</v>
      </c>
      <c r="W205" s="188">
        <v>12</v>
      </c>
      <c r="X205" s="188">
        <v>6</v>
      </c>
      <c r="Y205" s="188">
        <v>4</v>
      </c>
      <c r="Z205" s="189"/>
      <c r="AA205" s="189"/>
      <c r="AB205" s="189"/>
      <c r="AC205" s="189"/>
    </row>
    <row r="206" spans="1:29" x14ac:dyDescent="0.25">
      <c r="A206" s="368" t="s">
        <v>38</v>
      </c>
      <c r="B206" s="368" t="s">
        <v>286</v>
      </c>
      <c r="C206" s="372" t="s">
        <v>287</v>
      </c>
      <c r="D206" s="359" t="s">
        <v>132</v>
      </c>
      <c r="E206" s="168"/>
      <c r="F206" s="168"/>
      <c r="G206" s="168"/>
      <c r="H206" s="588"/>
      <c r="I206" s="569"/>
      <c r="J206" s="569"/>
      <c r="K206" s="569"/>
      <c r="L206" s="569"/>
      <c r="M206" s="189"/>
      <c r="N206" s="189"/>
      <c r="O206" s="189"/>
      <c r="P206" s="189"/>
      <c r="Q206" s="189"/>
      <c r="R206" s="189"/>
      <c r="S206" s="189"/>
      <c r="T206" s="189"/>
      <c r="U206" s="14">
        <f t="shared" si="7"/>
        <v>0</v>
      </c>
      <c r="V206" s="196">
        <f t="shared" si="8"/>
        <v>0</v>
      </c>
      <c r="W206" s="188">
        <v>12</v>
      </c>
      <c r="X206" s="188">
        <v>6</v>
      </c>
      <c r="Y206" s="188">
        <v>4</v>
      </c>
      <c r="Z206" s="189"/>
      <c r="AA206" s="189"/>
      <c r="AB206" s="189"/>
      <c r="AC206" s="189"/>
    </row>
    <row r="207" spans="1:29" x14ac:dyDescent="0.25">
      <c r="A207" s="368" t="s">
        <v>38</v>
      </c>
      <c r="B207" s="368" t="s">
        <v>310</v>
      </c>
      <c r="C207" s="372" t="s">
        <v>288</v>
      </c>
      <c r="D207" s="359" t="s">
        <v>150</v>
      </c>
      <c r="E207" s="168"/>
      <c r="F207" s="168"/>
      <c r="G207" s="168"/>
      <c r="H207" s="588"/>
      <c r="I207" s="569"/>
      <c r="J207" s="569"/>
      <c r="K207" s="569"/>
      <c r="L207" s="569"/>
      <c r="M207" s="189"/>
      <c r="N207" s="189"/>
      <c r="O207" s="189"/>
      <c r="P207" s="189"/>
      <c r="Q207" s="189"/>
      <c r="R207" s="189"/>
      <c r="S207" s="189"/>
      <c r="T207" s="189"/>
      <c r="U207" s="14">
        <f t="shared" si="7"/>
        <v>0</v>
      </c>
      <c r="V207" s="196">
        <f t="shared" si="8"/>
        <v>0</v>
      </c>
      <c r="W207" s="188">
        <v>12</v>
      </c>
      <c r="X207" s="188">
        <v>6</v>
      </c>
      <c r="Y207" s="188">
        <v>4</v>
      </c>
      <c r="Z207" s="189"/>
      <c r="AA207" s="189"/>
      <c r="AB207" s="189"/>
      <c r="AC207" s="189"/>
    </row>
    <row r="208" spans="1:29" x14ac:dyDescent="0.25">
      <c r="A208" s="368" t="s">
        <v>38</v>
      </c>
      <c r="B208" s="368" t="s">
        <v>315</v>
      </c>
      <c r="C208" s="372" t="s">
        <v>288</v>
      </c>
      <c r="D208" s="359" t="s">
        <v>137</v>
      </c>
      <c r="E208" s="168"/>
      <c r="F208" s="168"/>
      <c r="G208" s="168"/>
      <c r="H208" s="588"/>
      <c r="I208" s="569"/>
      <c r="J208" s="569"/>
      <c r="K208" s="569"/>
      <c r="L208" s="569"/>
      <c r="M208" s="189"/>
      <c r="N208" s="189"/>
      <c r="O208" s="189"/>
      <c r="P208" s="189"/>
      <c r="Q208" s="189"/>
      <c r="R208" s="189"/>
      <c r="S208" s="189"/>
      <c r="T208" s="189"/>
      <c r="U208" s="14">
        <f t="shared" si="7"/>
        <v>0</v>
      </c>
      <c r="V208" s="196">
        <f t="shared" si="8"/>
        <v>0</v>
      </c>
      <c r="W208" s="188">
        <v>12</v>
      </c>
      <c r="X208" s="188">
        <v>6</v>
      </c>
      <c r="Y208" s="188">
        <v>4</v>
      </c>
      <c r="Z208" s="189"/>
      <c r="AA208" s="189"/>
      <c r="AB208" s="189"/>
      <c r="AC208" s="189"/>
    </row>
    <row r="209" spans="1:29" x14ac:dyDescent="0.25">
      <c r="A209" s="368" t="s">
        <v>38</v>
      </c>
      <c r="B209" s="368" t="s">
        <v>86</v>
      </c>
      <c r="C209" s="372" t="s">
        <v>288</v>
      </c>
      <c r="D209" s="359" t="s">
        <v>146</v>
      </c>
      <c r="E209" s="168"/>
      <c r="F209" s="168"/>
      <c r="G209" s="168"/>
      <c r="H209" s="588"/>
      <c r="I209" s="569"/>
      <c r="J209" s="569"/>
      <c r="K209" s="569"/>
      <c r="L209" s="569"/>
      <c r="M209" s="189"/>
      <c r="N209" s="189"/>
      <c r="O209" s="189"/>
      <c r="P209" s="189"/>
      <c r="Q209" s="189"/>
      <c r="R209" s="189"/>
      <c r="S209" s="189"/>
      <c r="T209" s="189"/>
      <c r="U209" s="14">
        <f t="shared" si="7"/>
        <v>0</v>
      </c>
      <c r="V209" s="196">
        <f t="shared" si="8"/>
        <v>0</v>
      </c>
      <c r="W209" s="188">
        <v>12</v>
      </c>
      <c r="X209" s="188">
        <v>6</v>
      </c>
      <c r="Y209" s="188">
        <v>4</v>
      </c>
      <c r="Z209" s="189"/>
      <c r="AA209" s="189"/>
      <c r="AB209" s="189"/>
      <c r="AC209" s="189"/>
    </row>
    <row r="210" spans="1:29" x14ac:dyDescent="0.25">
      <c r="A210" s="368" t="s">
        <v>38</v>
      </c>
      <c r="B210" s="368" t="s">
        <v>289</v>
      </c>
      <c r="C210" s="372" t="s">
        <v>290</v>
      </c>
      <c r="D210" s="359" t="s">
        <v>139</v>
      </c>
      <c r="E210" s="168"/>
      <c r="F210" s="168"/>
      <c r="G210" s="168"/>
      <c r="H210" s="588"/>
      <c r="I210" s="569"/>
      <c r="J210" s="569"/>
      <c r="K210" s="569"/>
      <c r="L210" s="569"/>
      <c r="M210" s="189"/>
      <c r="N210" s="189"/>
      <c r="O210" s="189"/>
      <c r="P210" s="189"/>
      <c r="Q210" s="189"/>
      <c r="R210" s="189"/>
      <c r="S210" s="189"/>
      <c r="T210" s="189"/>
      <c r="U210" s="14">
        <f t="shared" si="7"/>
        <v>0</v>
      </c>
      <c r="V210" s="196">
        <f t="shared" si="8"/>
        <v>0</v>
      </c>
      <c r="W210" s="188">
        <v>12</v>
      </c>
      <c r="X210" s="188">
        <v>6</v>
      </c>
      <c r="Y210" s="188">
        <v>4</v>
      </c>
      <c r="Z210" s="189"/>
      <c r="AA210" s="189"/>
      <c r="AB210" s="189"/>
      <c r="AC210" s="189"/>
    </row>
    <row r="211" spans="1:29" x14ac:dyDescent="0.25">
      <c r="A211" s="368" t="s">
        <v>38</v>
      </c>
      <c r="B211" s="368" t="s">
        <v>300</v>
      </c>
      <c r="C211" s="372" t="s">
        <v>301</v>
      </c>
      <c r="D211" s="359" t="s">
        <v>302</v>
      </c>
      <c r="E211" s="168"/>
      <c r="F211" s="168"/>
      <c r="G211" s="168"/>
      <c r="H211" s="588"/>
      <c r="I211" s="569"/>
      <c r="J211" s="569"/>
      <c r="K211" s="569"/>
      <c r="L211" s="569"/>
      <c r="M211" s="189"/>
      <c r="N211" s="189"/>
      <c r="O211" s="189"/>
      <c r="P211" s="189"/>
      <c r="Q211" s="189"/>
      <c r="R211" s="189"/>
      <c r="S211" s="189"/>
      <c r="T211" s="189"/>
      <c r="U211" s="14">
        <f t="shared" si="7"/>
        <v>0</v>
      </c>
      <c r="V211" s="196">
        <f t="shared" si="8"/>
        <v>0</v>
      </c>
      <c r="W211" s="188">
        <v>12</v>
      </c>
      <c r="X211" s="188">
        <v>6</v>
      </c>
      <c r="Y211" s="188">
        <v>4</v>
      </c>
      <c r="Z211" s="189"/>
      <c r="AA211" s="189"/>
      <c r="AB211" s="189"/>
      <c r="AC211" s="189"/>
    </row>
    <row r="212" spans="1:29" x14ac:dyDescent="0.25">
      <c r="A212" s="368" t="s">
        <v>38</v>
      </c>
      <c r="B212" s="368" t="s">
        <v>297</v>
      </c>
      <c r="C212" s="372" t="s">
        <v>298</v>
      </c>
      <c r="D212" s="359" t="s">
        <v>299</v>
      </c>
      <c r="E212" s="168"/>
      <c r="F212" s="168"/>
      <c r="G212" s="168"/>
      <c r="H212" s="588"/>
      <c r="I212" s="569"/>
      <c r="J212" s="569"/>
      <c r="K212" s="569"/>
      <c r="L212" s="569"/>
      <c r="M212" s="189"/>
      <c r="N212" s="189"/>
      <c r="O212" s="189"/>
      <c r="P212" s="189"/>
      <c r="Q212" s="189"/>
      <c r="R212" s="189"/>
      <c r="S212" s="189"/>
      <c r="T212" s="189"/>
      <c r="U212" s="14">
        <f t="shared" si="7"/>
        <v>0</v>
      </c>
      <c r="V212" s="196">
        <f t="shared" si="8"/>
        <v>0</v>
      </c>
      <c r="W212" s="188">
        <v>12</v>
      </c>
      <c r="X212" s="188">
        <v>6</v>
      </c>
      <c r="Y212" s="188">
        <v>4</v>
      </c>
      <c r="Z212" s="189"/>
      <c r="AA212" s="189"/>
      <c r="AB212" s="189"/>
      <c r="AC212" s="189"/>
    </row>
    <row r="213" spans="1:29" x14ac:dyDescent="0.25">
      <c r="A213" s="368" t="s">
        <v>38</v>
      </c>
      <c r="B213" s="369" t="s">
        <v>42</v>
      </c>
      <c r="C213" s="370" t="s">
        <v>143</v>
      </c>
      <c r="D213" s="357"/>
      <c r="E213" s="168"/>
      <c r="F213" s="168"/>
      <c r="G213" s="168"/>
      <c r="H213" s="588"/>
      <c r="I213" s="569"/>
      <c r="J213" s="569"/>
      <c r="K213" s="569"/>
      <c r="L213" s="569"/>
      <c r="M213" s="189"/>
      <c r="N213" s="189"/>
      <c r="O213" s="189"/>
      <c r="P213" s="189"/>
      <c r="Q213" s="189"/>
      <c r="R213" s="189"/>
      <c r="S213" s="189"/>
      <c r="T213" s="189"/>
      <c r="U213" s="14">
        <f t="shared" si="7"/>
        <v>0</v>
      </c>
      <c r="V213" s="196">
        <f t="shared" si="8"/>
        <v>0</v>
      </c>
      <c r="W213" s="188"/>
      <c r="X213" s="188"/>
      <c r="Y213" s="188"/>
      <c r="Z213" s="189"/>
      <c r="AA213" s="189"/>
      <c r="AB213" s="189"/>
      <c r="AC213" s="189"/>
    </row>
    <row r="214" spans="1:29" x14ac:dyDescent="0.25">
      <c r="A214" s="368" t="s">
        <v>38</v>
      </c>
      <c r="B214" s="368" t="s">
        <v>46</v>
      </c>
      <c r="C214" s="372" t="s">
        <v>147</v>
      </c>
      <c r="D214" s="359" t="s">
        <v>150</v>
      </c>
      <c r="E214" s="168"/>
      <c r="F214" s="168"/>
      <c r="G214" s="168"/>
      <c r="H214" s="588"/>
      <c r="I214" s="569"/>
      <c r="J214" s="569"/>
      <c r="K214" s="569"/>
      <c r="L214" s="569"/>
      <c r="M214" s="189"/>
      <c r="N214" s="189"/>
      <c r="O214" s="189"/>
      <c r="P214" s="189"/>
      <c r="Q214" s="189"/>
      <c r="R214" s="189"/>
      <c r="S214" s="189"/>
      <c r="T214" s="189"/>
      <c r="U214" s="14">
        <f t="shared" si="7"/>
        <v>0</v>
      </c>
      <c r="V214" s="196">
        <f t="shared" si="8"/>
        <v>0</v>
      </c>
      <c r="W214" s="188">
        <v>12</v>
      </c>
      <c r="X214" s="188">
        <v>6</v>
      </c>
      <c r="Y214" s="188">
        <v>4</v>
      </c>
      <c r="Z214" s="189"/>
      <c r="AA214" s="189"/>
      <c r="AB214" s="189"/>
      <c r="AC214" s="189"/>
    </row>
    <row r="215" spans="1:29" x14ac:dyDescent="0.25">
      <c r="A215" s="368" t="s">
        <v>38</v>
      </c>
      <c r="B215" s="368" t="s">
        <v>72</v>
      </c>
      <c r="C215" s="372" t="s">
        <v>314</v>
      </c>
      <c r="D215" s="359" t="s">
        <v>146</v>
      </c>
      <c r="E215" s="168"/>
      <c r="F215" s="168"/>
      <c r="G215" s="168"/>
      <c r="H215" s="588"/>
      <c r="I215" s="569"/>
      <c r="J215" s="569"/>
      <c r="K215" s="569"/>
      <c r="L215" s="569"/>
      <c r="M215" s="189"/>
      <c r="N215" s="189"/>
      <c r="O215" s="189"/>
      <c r="P215" s="189"/>
      <c r="Q215" s="189"/>
      <c r="R215" s="189"/>
      <c r="S215" s="189"/>
      <c r="T215" s="189"/>
      <c r="U215" s="14">
        <f t="shared" si="7"/>
        <v>0</v>
      </c>
      <c r="V215" s="196">
        <f t="shared" si="8"/>
        <v>0</v>
      </c>
      <c r="W215" s="188">
        <v>12</v>
      </c>
      <c r="X215" s="188">
        <v>6</v>
      </c>
      <c r="Y215" s="188">
        <v>4</v>
      </c>
      <c r="Z215" s="189"/>
      <c r="AA215" s="189"/>
      <c r="AB215" s="189"/>
      <c r="AC215" s="189"/>
    </row>
    <row r="216" spans="1:29" x14ac:dyDescent="0.25">
      <c r="A216" s="368" t="s">
        <v>38</v>
      </c>
      <c r="B216" s="368" t="s">
        <v>85</v>
      </c>
      <c r="C216" s="372" t="s">
        <v>147</v>
      </c>
      <c r="D216" s="359" t="s">
        <v>132</v>
      </c>
      <c r="E216" s="168"/>
      <c r="F216" s="168"/>
      <c r="G216" s="168"/>
      <c r="H216" s="588"/>
      <c r="I216" s="569"/>
      <c r="J216" s="569"/>
      <c r="K216" s="569"/>
      <c r="L216" s="569"/>
      <c r="M216" s="189"/>
      <c r="N216" s="189"/>
      <c r="O216" s="189"/>
      <c r="P216" s="189"/>
      <c r="Q216" s="189"/>
      <c r="R216" s="189"/>
      <c r="S216" s="189"/>
      <c r="T216" s="189"/>
      <c r="U216" s="14">
        <f t="shared" si="7"/>
        <v>0</v>
      </c>
      <c r="V216" s="196">
        <f t="shared" si="8"/>
        <v>0</v>
      </c>
      <c r="W216" s="188">
        <v>12</v>
      </c>
      <c r="X216" s="188">
        <v>6</v>
      </c>
      <c r="Y216" s="188">
        <v>4</v>
      </c>
      <c r="Z216" s="189"/>
      <c r="AA216" s="189"/>
      <c r="AB216" s="189"/>
      <c r="AC216" s="189"/>
    </row>
    <row r="217" spans="1:29" x14ac:dyDescent="0.25">
      <c r="A217" s="368" t="s">
        <v>38</v>
      </c>
      <c r="B217" s="368" t="s">
        <v>1136</v>
      </c>
      <c r="C217" s="372"/>
      <c r="D217" s="359"/>
      <c r="E217" s="168"/>
      <c r="F217" s="168"/>
      <c r="G217" s="168"/>
      <c r="H217" s="588"/>
      <c r="I217" s="569"/>
      <c r="J217" s="569"/>
      <c r="K217" s="569"/>
      <c r="L217" s="569"/>
      <c r="M217" s="189"/>
      <c r="N217" s="189"/>
      <c r="O217" s="189"/>
      <c r="P217" s="189"/>
      <c r="Q217" s="189"/>
      <c r="R217" s="189"/>
      <c r="S217" s="189"/>
      <c r="T217" s="189"/>
      <c r="U217" s="14">
        <f t="shared" si="7"/>
        <v>0</v>
      </c>
      <c r="V217" s="196">
        <f t="shared" si="8"/>
        <v>0</v>
      </c>
      <c r="W217" s="188"/>
      <c r="X217" s="188"/>
      <c r="Y217" s="188"/>
      <c r="Z217" s="189"/>
      <c r="AA217" s="189"/>
      <c r="AB217" s="189"/>
      <c r="AC217" s="189"/>
    </row>
    <row r="218" spans="1:29" x14ac:dyDescent="0.25">
      <c r="A218" s="377" t="s">
        <v>36</v>
      </c>
      <c r="B218" s="377" t="s">
        <v>37</v>
      </c>
      <c r="C218" s="373" t="s">
        <v>160</v>
      </c>
      <c r="D218" s="360"/>
      <c r="E218" s="169"/>
      <c r="F218" s="183"/>
      <c r="G218" s="183"/>
      <c r="H218" s="588"/>
      <c r="I218" s="569"/>
      <c r="J218" s="569"/>
      <c r="K218" s="569"/>
      <c r="L218" s="569"/>
      <c r="M218" s="189"/>
      <c r="N218" s="189"/>
      <c r="O218" s="189"/>
      <c r="P218" s="189"/>
      <c r="Q218" s="189"/>
      <c r="R218" s="189"/>
      <c r="S218" s="189"/>
      <c r="T218" s="189"/>
      <c r="U218" s="14">
        <f t="shared" si="7"/>
        <v>0</v>
      </c>
      <c r="V218" s="196">
        <f t="shared" si="8"/>
        <v>0</v>
      </c>
      <c r="W218" s="184"/>
      <c r="X218" s="184"/>
      <c r="Y218" s="184"/>
      <c r="Z218" s="189"/>
      <c r="AA218" s="189"/>
      <c r="AB218" s="189"/>
      <c r="AC218" s="189"/>
    </row>
    <row r="219" spans="1:29" x14ac:dyDescent="0.25">
      <c r="A219" s="366" t="s">
        <v>161</v>
      </c>
      <c r="B219" s="366" t="s">
        <v>122</v>
      </c>
      <c r="C219" s="373" t="s">
        <v>29</v>
      </c>
      <c r="D219" s="360"/>
      <c r="E219" s="169"/>
      <c r="F219" s="183"/>
      <c r="G219" s="183"/>
      <c r="H219" s="588"/>
      <c r="I219" s="569"/>
      <c r="J219" s="569"/>
      <c r="K219" s="569"/>
      <c r="L219" s="569"/>
      <c r="M219" s="189"/>
      <c r="N219" s="189"/>
      <c r="O219" s="189"/>
      <c r="P219" s="189"/>
      <c r="Q219" s="189"/>
      <c r="R219" s="189"/>
      <c r="S219" s="189"/>
      <c r="T219" s="189"/>
      <c r="U219" s="14">
        <f t="shared" si="7"/>
        <v>0</v>
      </c>
      <c r="V219" s="196">
        <f t="shared" si="8"/>
        <v>0</v>
      </c>
      <c r="W219" s="713"/>
      <c r="X219" s="713"/>
      <c r="Y219" s="713"/>
      <c r="Z219" s="189"/>
      <c r="AA219" s="189"/>
      <c r="AB219" s="189"/>
      <c r="AC219" s="189"/>
    </row>
    <row r="220" spans="1:29" x14ac:dyDescent="0.25">
      <c r="A220" s="366" t="s">
        <v>161</v>
      </c>
      <c r="B220" s="366" t="s">
        <v>353</v>
      </c>
      <c r="C220" s="373">
        <v>50</v>
      </c>
      <c r="D220" s="360"/>
      <c r="E220" s="192"/>
      <c r="F220" s="183"/>
      <c r="G220" s="183"/>
      <c r="H220" s="588"/>
      <c r="I220" s="569"/>
      <c r="J220" s="569"/>
      <c r="K220" s="569"/>
      <c r="L220" s="569"/>
      <c r="M220" s="189"/>
      <c r="N220" s="189"/>
      <c r="O220" s="189"/>
      <c r="P220" s="189"/>
      <c r="Q220" s="189"/>
      <c r="R220" s="189"/>
      <c r="S220" s="189"/>
      <c r="T220" s="189"/>
      <c r="U220" s="14">
        <f t="shared" si="7"/>
        <v>0</v>
      </c>
      <c r="V220" s="196">
        <f t="shared" si="8"/>
        <v>0</v>
      </c>
      <c r="W220" s="713"/>
      <c r="X220" s="713"/>
      <c r="Y220" s="713"/>
      <c r="Z220" s="189"/>
      <c r="AA220" s="189"/>
      <c r="AB220" s="189"/>
      <c r="AC220" s="189"/>
    </row>
    <row r="221" spans="1:29" x14ac:dyDescent="0.25">
      <c r="A221" s="366" t="s">
        <v>161</v>
      </c>
      <c r="B221" s="366" t="s">
        <v>227</v>
      </c>
      <c r="C221" s="373">
        <v>732</v>
      </c>
      <c r="D221" s="360"/>
      <c r="E221" s="169"/>
      <c r="F221" s="183"/>
      <c r="G221" s="183"/>
      <c r="H221" s="588"/>
      <c r="I221" s="569"/>
      <c r="J221" s="569"/>
      <c r="K221" s="569"/>
      <c r="L221" s="569"/>
      <c r="M221" s="189"/>
      <c r="N221" s="189"/>
      <c r="O221" s="189"/>
      <c r="P221" s="189"/>
      <c r="Q221" s="189"/>
      <c r="R221" s="189"/>
      <c r="S221" s="189"/>
      <c r="T221" s="189"/>
      <c r="U221" s="14">
        <f t="shared" si="7"/>
        <v>0</v>
      </c>
      <c r="V221" s="196">
        <f t="shared" si="8"/>
        <v>0</v>
      </c>
      <c r="Z221" s="189"/>
      <c r="AA221" s="189"/>
      <c r="AB221" s="189"/>
      <c r="AC221" s="189"/>
    </row>
  </sheetData>
  <autoFilter ref="A2:AC221">
    <sortState ref="A3:AC221">
      <sortCondition ref="A2:A221"/>
    </sortState>
  </autoFilter>
  <mergeCells count="1">
    <mergeCell ref="U1:Y1"/>
  </mergeCells>
  <phoneticPr fontId="11" type="noConversion"/>
  <conditionalFormatting sqref="V3:V221">
    <cfRule type="cellIs" dxfId="4" priority="1" operator="greaterThan">
      <formula>0.5</formula>
    </cfRule>
  </conditionalFormatting>
  <pageMargins left="0.7" right="0.7" top="0.75" bottom="0.75" header="0.3" footer="0.3"/>
  <pageSetup paperSize="9" scale="14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LISTE!$A$2:$A$16</xm:f>
          </x14:formula1>
          <xm:sqref>A3:A1048576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5" sqref="B5"/>
    </sheetView>
  </sheetViews>
  <sheetFormatPr baseColWidth="10" defaultColWidth="11.42578125" defaultRowHeight="15" x14ac:dyDescent="0.25"/>
  <sheetData>
    <row r="1" spans="1:1" x14ac:dyDescent="0.25">
      <c r="A1">
        <v>123456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3" tint="0.79998168889431442"/>
    <pageSetUpPr fitToPage="1"/>
  </sheetPr>
  <dimension ref="A1:X501"/>
  <sheetViews>
    <sheetView zoomScale="70" zoomScaleNormal="7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U5" sqref="L5:U5"/>
    </sheetView>
  </sheetViews>
  <sheetFormatPr baseColWidth="10" defaultColWidth="11.42578125" defaultRowHeight="15" outlineLevelRow="2" x14ac:dyDescent="0.25"/>
  <cols>
    <col min="1" max="1" width="25.42578125" style="16" customWidth="1"/>
    <col min="2" max="2" width="25.42578125" style="20" customWidth="1"/>
    <col min="3" max="3" width="21.5703125" style="19" bestFit="1" customWidth="1"/>
    <col min="4" max="4" width="6.28515625" style="18" bestFit="1" customWidth="1"/>
    <col min="5" max="11" width="5.28515625" style="318" bestFit="1" customWidth="1"/>
    <col min="12" max="23" width="7.85546875" style="16" customWidth="1"/>
    <col min="24" max="16384" width="11.42578125" style="16"/>
  </cols>
  <sheetData>
    <row r="1" spans="1:24" ht="18.75" customHeight="1" thickBot="1" x14ac:dyDescent="0.3">
      <c r="A1" s="758" t="s">
        <v>366</v>
      </c>
      <c r="B1" s="759"/>
      <c r="C1" s="759"/>
      <c r="D1" s="167"/>
      <c r="E1" s="317"/>
      <c r="F1" s="317"/>
      <c r="G1" s="317"/>
      <c r="H1" s="317"/>
      <c r="I1" s="317"/>
      <c r="J1" s="317"/>
      <c r="K1" s="317"/>
      <c r="L1" s="803" t="s">
        <v>1194</v>
      </c>
      <c r="M1" s="804"/>
      <c r="N1" s="804"/>
      <c r="O1" s="804"/>
      <c r="P1" s="804"/>
      <c r="Q1" s="804"/>
      <c r="R1" s="804"/>
      <c r="S1" s="804"/>
      <c r="T1" s="804"/>
      <c r="U1" s="804"/>
      <c r="V1" s="804"/>
      <c r="W1" s="805"/>
    </row>
    <row r="2" spans="1:24" ht="15.75" thickBot="1" x14ac:dyDescent="0.3">
      <c r="L2" s="248"/>
      <c r="W2" s="249"/>
    </row>
    <row r="3" spans="1:24" ht="15" customHeight="1" x14ac:dyDescent="0.25">
      <c r="A3" s="769"/>
      <c r="B3" s="770"/>
      <c r="C3" s="770"/>
      <c r="D3" s="762">
        <v>2017</v>
      </c>
      <c r="E3" s="762">
        <v>2018</v>
      </c>
      <c r="F3" s="762">
        <v>2019</v>
      </c>
      <c r="G3" s="762">
        <v>2020</v>
      </c>
      <c r="H3" s="762">
        <v>2021</v>
      </c>
      <c r="I3" s="762">
        <v>2022</v>
      </c>
      <c r="J3" s="762">
        <v>2023</v>
      </c>
      <c r="K3" s="762">
        <v>2024</v>
      </c>
      <c r="L3" s="250" t="s">
        <v>367</v>
      </c>
      <c r="M3" s="165" t="s">
        <v>368</v>
      </c>
      <c r="N3" s="165" t="s">
        <v>369</v>
      </c>
      <c r="O3" s="165" t="s">
        <v>370</v>
      </c>
      <c r="P3" s="165" t="s">
        <v>371</v>
      </c>
      <c r="Q3" s="165" t="s">
        <v>372</v>
      </c>
      <c r="R3" s="165" t="s">
        <v>373</v>
      </c>
      <c r="S3" s="165" t="s">
        <v>374</v>
      </c>
      <c r="T3" s="165" t="s">
        <v>375</v>
      </c>
      <c r="U3" s="165" t="s">
        <v>376</v>
      </c>
      <c r="V3" s="165" t="s">
        <v>377</v>
      </c>
      <c r="W3" s="251" t="s">
        <v>378</v>
      </c>
      <c r="X3" s="801" t="s">
        <v>1195</v>
      </c>
    </row>
    <row r="4" spans="1:24" ht="15.75" thickBot="1" x14ac:dyDescent="0.3">
      <c r="A4" s="771"/>
      <c r="B4" s="772"/>
      <c r="C4" s="772"/>
      <c r="D4" s="764"/>
      <c r="E4" s="764"/>
      <c r="F4" s="764"/>
      <c r="G4" s="764"/>
      <c r="H4" s="763"/>
      <c r="I4" s="763"/>
      <c r="J4" s="763"/>
      <c r="K4" s="763"/>
      <c r="L4" s="252" t="s">
        <v>379</v>
      </c>
      <c r="M4" s="164" t="s">
        <v>379</v>
      </c>
      <c r="N4" s="164" t="s">
        <v>379</v>
      </c>
      <c r="O4" s="164" t="s">
        <v>379</v>
      </c>
      <c r="P4" s="164" t="s">
        <v>379</v>
      </c>
      <c r="Q4" s="164" t="s">
        <v>379</v>
      </c>
      <c r="R4" s="164" t="s">
        <v>379</v>
      </c>
      <c r="S4" s="164" t="s">
        <v>379</v>
      </c>
      <c r="T4" s="164" t="s">
        <v>379</v>
      </c>
      <c r="U4" s="164" t="s">
        <v>379</v>
      </c>
      <c r="V4" s="164" t="s">
        <v>379</v>
      </c>
      <c r="W4" s="253" t="s">
        <v>379</v>
      </c>
      <c r="X4" s="802"/>
    </row>
    <row r="5" spans="1:24" s="162" customFormat="1" ht="17.25" customHeight="1" thickBot="1" x14ac:dyDescent="0.3">
      <c r="A5" s="765" t="s">
        <v>380</v>
      </c>
      <c r="B5" s="766"/>
      <c r="C5" s="766"/>
      <c r="D5" s="163">
        <v>0</v>
      </c>
      <c r="E5" s="319">
        <v>17</v>
      </c>
      <c r="F5" s="319">
        <v>58</v>
      </c>
      <c r="G5" s="319">
        <v>30</v>
      </c>
      <c r="H5" s="319">
        <v>66</v>
      </c>
      <c r="I5" s="319">
        <v>64</v>
      </c>
      <c r="J5" s="319">
        <v>32</v>
      </c>
      <c r="K5" s="319">
        <v>45</v>
      </c>
      <c r="L5" s="734">
        <f>L248+L421+L501</f>
        <v>0</v>
      </c>
      <c r="M5" s="735">
        <f t="shared" ref="M5:W5" si="0">M248+M421+M501</f>
        <v>0</v>
      </c>
      <c r="N5" s="735">
        <f t="shared" si="0"/>
        <v>0</v>
      </c>
      <c r="O5" s="735">
        <f t="shared" si="0"/>
        <v>0</v>
      </c>
      <c r="P5" s="735">
        <f>P248+P421+P501</f>
        <v>0</v>
      </c>
      <c r="Q5" s="735">
        <f t="shared" si="0"/>
        <v>0</v>
      </c>
      <c r="R5" s="735">
        <f t="shared" si="0"/>
        <v>0</v>
      </c>
      <c r="S5" s="735">
        <f t="shared" si="0"/>
        <v>0</v>
      </c>
      <c r="T5" s="735">
        <f t="shared" si="0"/>
        <v>0</v>
      </c>
      <c r="U5" s="735">
        <f t="shared" si="0"/>
        <v>0</v>
      </c>
      <c r="V5" s="542">
        <f t="shared" si="0"/>
        <v>0</v>
      </c>
      <c r="W5" s="543">
        <f t="shared" si="0"/>
        <v>0</v>
      </c>
      <c r="X5" s="544">
        <f>X248+X421+X501</f>
        <v>0</v>
      </c>
    </row>
    <row r="6" spans="1:24" outlineLevel="1" x14ac:dyDescent="0.25">
      <c r="A6" s="54" t="s">
        <v>140</v>
      </c>
      <c r="B6" s="123" t="s">
        <v>381</v>
      </c>
      <c r="C6" s="123"/>
      <c r="D6" s="53"/>
      <c r="E6" s="53"/>
      <c r="F6" s="53"/>
      <c r="G6" s="53"/>
      <c r="H6" s="154"/>
      <c r="I6" s="154" t="s">
        <v>382</v>
      </c>
      <c r="J6" s="154"/>
      <c r="K6" s="154"/>
      <c r="L6" s="714"/>
      <c r="M6" s="71"/>
      <c r="N6" s="70"/>
      <c r="O6" s="70"/>
      <c r="P6" s="70"/>
      <c r="Q6" s="70"/>
      <c r="R6" s="70"/>
      <c r="S6" s="70"/>
      <c r="T6" s="70"/>
      <c r="U6" s="70"/>
      <c r="V6" s="70"/>
      <c r="W6" s="280"/>
      <c r="X6" s="234">
        <f t="shared" ref="X6:X37" si="1">SUM(L6:W6)</f>
        <v>0</v>
      </c>
    </row>
    <row r="7" spans="1:24" outlineLevel="1" x14ac:dyDescent="0.25">
      <c r="A7" s="61" t="s">
        <v>140</v>
      </c>
      <c r="B7" s="123" t="s">
        <v>383</v>
      </c>
      <c r="C7" s="123"/>
      <c r="D7" s="60"/>
      <c r="E7" s="60"/>
      <c r="F7" s="60"/>
      <c r="G7" s="60"/>
      <c r="H7" s="146"/>
      <c r="I7" s="146" t="s">
        <v>382</v>
      </c>
      <c r="J7" s="146"/>
      <c r="K7" s="146"/>
      <c r="L7" s="111"/>
      <c r="M7" s="66"/>
      <c r="N7" s="66"/>
      <c r="O7" s="66"/>
      <c r="P7" s="66"/>
      <c r="Q7" s="66"/>
      <c r="R7" s="66"/>
      <c r="S7" s="66"/>
      <c r="T7" s="66"/>
      <c r="U7" s="66"/>
      <c r="V7" s="66"/>
      <c r="W7" s="265"/>
      <c r="X7" s="234">
        <f t="shared" si="1"/>
        <v>0</v>
      </c>
    </row>
    <row r="8" spans="1:24" outlineLevel="1" x14ac:dyDescent="0.25">
      <c r="A8" s="61" t="s">
        <v>140</v>
      </c>
      <c r="B8" s="122" t="s">
        <v>384</v>
      </c>
      <c r="C8" s="122"/>
      <c r="D8" s="60"/>
      <c r="E8" s="60"/>
      <c r="F8" s="60"/>
      <c r="G8" s="60"/>
      <c r="H8" s="146"/>
      <c r="I8" s="146" t="s">
        <v>382</v>
      </c>
      <c r="J8" s="146"/>
      <c r="K8" s="146"/>
      <c r="L8" s="111"/>
      <c r="M8" s="66"/>
      <c r="N8" s="66"/>
      <c r="O8" s="66"/>
      <c r="P8" s="66"/>
      <c r="Q8" s="66"/>
      <c r="R8" s="66"/>
      <c r="S8" s="66"/>
      <c r="T8" s="66"/>
      <c r="U8" s="66"/>
      <c r="V8" s="66"/>
      <c r="W8" s="265"/>
      <c r="X8" s="234">
        <f t="shared" si="1"/>
        <v>0</v>
      </c>
    </row>
    <row r="9" spans="1:24" outlineLevel="1" x14ac:dyDescent="0.25">
      <c r="A9" s="61" t="s">
        <v>140</v>
      </c>
      <c r="B9" s="122" t="s">
        <v>385</v>
      </c>
      <c r="C9" s="122"/>
      <c r="D9" s="60"/>
      <c r="E9" s="60"/>
      <c r="F9" s="60"/>
      <c r="G9" s="60"/>
      <c r="H9" s="146"/>
      <c r="I9" s="146" t="s">
        <v>382</v>
      </c>
      <c r="J9" s="146"/>
      <c r="K9" s="146"/>
      <c r="L9" s="111"/>
      <c r="M9" s="66"/>
      <c r="N9" s="66"/>
      <c r="O9" s="66"/>
      <c r="P9" s="66"/>
      <c r="Q9" s="66"/>
      <c r="R9" s="66"/>
      <c r="S9" s="66"/>
      <c r="T9" s="66"/>
      <c r="U9" s="66"/>
      <c r="V9" s="66"/>
      <c r="W9" s="265"/>
      <c r="X9" s="234">
        <f t="shared" si="1"/>
        <v>0</v>
      </c>
    </row>
    <row r="10" spans="1:24" ht="15.75" outlineLevel="1" thickBot="1" x14ac:dyDescent="0.3">
      <c r="A10" s="145" t="s">
        <v>140</v>
      </c>
      <c r="B10" s="161" t="s">
        <v>386</v>
      </c>
      <c r="C10" s="161"/>
      <c r="D10" s="37"/>
      <c r="E10" s="37"/>
      <c r="F10" s="37"/>
      <c r="G10" s="37"/>
      <c r="H10" s="144"/>
      <c r="I10" s="144" t="s">
        <v>382</v>
      </c>
      <c r="J10" s="144"/>
      <c r="K10" s="144"/>
      <c r="L10" s="271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272"/>
      <c r="X10" s="235">
        <f t="shared" si="1"/>
        <v>0</v>
      </c>
    </row>
    <row r="11" spans="1:24" outlineLevel="1" x14ac:dyDescent="0.25">
      <c r="A11" s="62" t="s">
        <v>140</v>
      </c>
      <c r="B11" s="119" t="s">
        <v>387</v>
      </c>
      <c r="C11" s="119"/>
      <c r="D11" s="33"/>
      <c r="E11" s="33"/>
      <c r="F11" s="33"/>
      <c r="G11" s="33"/>
      <c r="H11" s="148"/>
      <c r="I11" s="148" t="s">
        <v>382</v>
      </c>
      <c r="J11" s="148"/>
      <c r="K11" s="148"/>
      <c r="L11" s="263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264"/>
      <c r="X11" s="236">
        <f t="shared" si="1"/>
        <v>0</v>
      </c>
    </row>
    <row r="12" spans="1:24" outlineLevel="1" x14ac:dyDescent="0.25">
      <c r="A12" s="61" t="s">
        <v>140</v>
      </c>
      <c r="B12" s="122" t="s">
        <v>388</v>
      </c>
      <c r="C12" s="122"/>
      <c r="D12" s="60"/>
      <c r="E12" s="60"/>
      <c r="F12" s="60"/>
      <c r="G12" s="60"/>
      <c r="H12" s="146"/>
      <c r="I12" s="146" t="s">
        <v>382</v>
      </c>
      <c r="J12" s="146"/>
      <c r="K12" s="146"/>
      <c r="L12" s="718"/>
      <c r="M12" s="719"/>
      <c r="N12" s="719"/>
      <c r="O12" s="719"/>
      <c r="P12" s="719"/>
      <c r="Q12" s="719"/>
      <c r="R12" s="719"/>
      <c r="S12" s="719"/>
      <c r="T12" s="719"/>
      <c r="U12" s="719"/>
      <c r="V12" s="719"/>
      <c r="W12" s="720"/>
      <c r="X12" s="234">
        <f t="shared" si="1"/>
        <v>0</v>
      </c>
    </row>
    <row r="13" spans="1:24" outlineLevel="1" x14ac:dyDescent="0.25">
      <c r="A13" s="61" t="s">
        <v>140</v>
      </c>
      <c r="B13" s="122" t="s">
        <v>389</v>
      </c>
      <c r="C13" s="122"/>
      <c r="D13" s="60"/>
      <c r="E13" s="60"/>
      <c r="F13" s="60"/>
      <c r="G13" s="60"/>
      <c r="H13" s="146"/>
      <c r="I13" s="146">
        <v>4</v>
      </c>
      <c r="J13" s="146"/>
      <c r="K13" s="146"/>
      <c r="L13" s="111"/>
      <c r="M13" s="69"/>
      <c r="N13" s="66"/>
      <c r="O13" s="66"/>
      <c r="P13" s="66"/>
      <c r="Q13" s="66"/>
      <c r="R13" s="66"/>
      <c r="S13" s="66"/>
      <c r="T13" s="66"/>
      <c r="U13" s="66"/>
      <c r="V13" s="66"/>
      <c r="W13" s="265"/>
      <c r="X13" s="234">
        <f t="shared" si="1"/>
        <v>0</v>
      </c>
    </row>
    <row r="14" spans="1:24" outlineLevel="1" x14ac:dyDescent="0.25">
      <c r="A14" s="61" t="s">
        <v>140</v>
      </c>
      <c r="B14" s="122" t="s">
        <v>390</v>
      </c>
      <c r="C14" s="122"/>
      <c r="D14" s="60"/>
      <c r="E14" s="60"/>
      <c r="F14" s="60">
        <v>2</v>
      </c>
      <c r="G14" s="60"/>
      <c r="H14" s="146">
        <v>11</v>
      </c>
      <c r="I14" s="146" t="s">
        <v>382</v>
      </c>
      <c r="J14" s="146"/>
      <c r="K14" s="146">
        <v>1</v>
      </c>
      <c r="L14" s="110"/>
      <c r="M14" s="66"/>
      <c r="N14" s="66"/>
      <c r="O14" s="69"/>
      <c r="P14" s="69"/>
      <c r="Q14" s="69"/>
      <c r="R14" s="69"/>
      <c r="S14" s="69"/>
      <c r="T14" s="69"/>
      <c r="U14" s="69"/>
      <c r="V14" s="69"/>
      <c r="W14" s="267"/>
      <c r="X14" s="234">
        <f t="shared" si="1"/>
        <v>0</v>
      </c>
    </row>
    <row r="15" spans="1:24" outlineLevel="1" x14ac:dyDescent="0.25">
      <c r="A15" s="61" t="s">
        <v>140</v>
      </c>
      <c r="B15" s="122" t="s">
        <v>391</v>
      </c>
      <c r="C15" s="122"/>
      <c r="D15" s="60"/>
      <c r="E15" s="60"/>
      <c r="F15" s="60"/>
      <c r="G15" s="60"/>
      <c r="H15" s="146"/>
      <c r="I15" s="146" t="s">
        <v>382</v>
      </c>
      <c r="J15" s="146"/>
      <c r="K15" s="146">
        <v>2</v>
      </c>
      <c r="L15" s="111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265"/>
      <c r="X15" s="234">
        <f t="shared" si="1"/>
        <v>0</v>
      </c>
    </row>
    <row r="16" spans="1:24" outlineLevel="1" x14ac:dyDescent="0.25">
      <c r="A16" s="61" t="s">
        <v>140</v>
      </c>
      <c r="B16" s="122" t="s">
        <v>392</v>
      </c>
      <c r="C16" s="122"/>
      <c r="D16" s="60"/>
      <c r="E16" s="60"/>
      <c r="F16" s="60"/>
      <c r="G16" s="60"/>
      <c r="H16" s="146"/>
      <c r="I16" s="146" t="s">
        <v>382</v>
      </c>
      <c r="J16" s="146"/>
      <c r="K16" s="146"/>
      <c r="L16" s="111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265"/>
      <c r="X16" s="234">
        <f t="shared" si="1"/>
        <v>0</v>
      </c>
    </row>
    <row r="17" spans="1:24" outlineLevel="1" x14ac:dyDescent="0.25">
      <c r="A17" s="61" t="s">
        <v>140</v>
      </c>
      <c r="B17" s="122" t="s">
        <v>186</v>
      </c>
      <c r="C17" s="122"/>
      <c r="D17" s="60"/>
      <c r="E17" s="60"/>
      <c r="F17" s="60"/>
      <c r="G17" s="60"/>
      <c r="H17" s="146"/>
      <c r="I17" s="146" t="s">
        <v>382</v>
      </c>
      <c r="J17" s="146"/>
      <c r="K17" s="146"/>
      <c r="L17" s="111"/>
      <c r="M17" s="66"/>
      <c r="N17" s="66"/>
      <c r="O17" s="66"/>
      <c r="P17" s="66"/>
      <c r="Q17" s="66"/>
      <c r="R17" s="66"/>
      <c r="S17" s="66"/>
      <c r="T17" s="66"/>
      <c r="U17" s="66"/>
      <c r="V17" s="69"/>
      <c r="W17" s="267"/>
      <c r="X17" s="234">
        <f t="shared" si="1"/>
        <v>0</v>
      </c>
    </row>
    <row r="18" spans="1:24" outlineLevel="1" x14ac:dyDescent="0.25">
      <c r="A18" s="61" t="s">
        <v>140</v>
      </c>
      <c r="B18" s="122" t="s">
        <v>393</v>
      </c>
      <c r="C18" s="122"/>
      <c r="D18" s="60"/>
      <c r="E18" s="60"/>
      <c r="F18" s="60"/>
      <c r="G18" s="60"/>
      <c r="H18" s="146"/>
      <c r="I18" s="146" t="s">
        <v>382</v>
      </c>
      <c r="J18" s="146"/>
      <c r="K18" s="146"/>
      <c r="L18" s="111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265"/>
      <c r="X18" s="234">
        <f t="shared" si="1"/>
        <v>0</v>
      </c>
    </row>
    <row r="19" spans="1:24" ht="15.75" outlineLevel="1" thickBot="1" x14ac:dyDescent="0.3">
      <c r="A19" s="145" t="s">
        <v>140</v>
      </c>
      <c r="B19" s="124" t="s">
        <v>187</v>
      </c>
      <c r="C19" s="124"/>
      <c r="D19" s="37"/>
      <c r="E19" s="37"/>
      <c r="F19" s="37"/>
      <c r="G19" s="37"/>
      <c r="H19" s="144"/>
      <c r="I19" s="144" t="s">
        <v>382</v>
      </c>
      <c r="J19" s="144"/>
      <c r="K19" s="144"/>
      <c r="L19" s="271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272"/>
      <c r="X19" s="235">
        <f t="shared" si="1"/>
        <v>0</v>
      </c>
    </row>
    <row r="20" spans="1:24" outlineLevel="1" x14ac:dyDescent="0.25">
      <c r="A20" s="62" t="s">
        <v>116</v>
      </c>
      <c r="B20" s="119" t="s">
        <v>193</v>
      </c>
      <c r="C20" s="119"/>
      <c r="D20" s="33"/>
      <c r="E20" s="33"/>
      <c r="F20" s="33"/>
      <c r="G20" s="33"/>
      <c r="H20" s="148"/>
      <c r="I20" s="148" t="s">
        <v>382</v>
      </c>
      <c r="J20" s="148"/>
      <c r="K20" s="148"/>
      <c r="L20" s="263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264"/>
      <c r="X20" s="236">
        <f t="shared" si="1"/>
        <v>0</v>
      </c>
    </row>
    <row r="21" spans="1:24" outlineLevel="1" x14ac:dyDescent="0.25">
      <c r="A21" s="61" t="s">
        <v>116</v>
      </c>
      <c r="B21" s="122" t="s">
        <v>194</v>
      </c>
      <c r="C21" s="122"/>
      <c r="D21" s="60"/>
      <c r="E21" s="60"/>
      <c r="F21" s="60"/>
      <c r="G21" s="60"/>
      <c r="H21" s="146"/>
      <c r="I21" s="146" t="s">
        <v>382</v>
      </c>
      <c r="J21" s="146"/>
      <c r="K21" s="146"/>
      <c r="L21" s="111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265"/>
      <c r="X21" s="234">
        <f t="shared" si="1"/>
        <v>0</v>
      </c>
    </row>
    <row r="22" spans="1:24" outlineLevel="1" x14ac:dyDescent="0.25">
      <c r="A22" s="61" t="s">
        <v>116</v>
      </c>
      <c r="B22" s="122" t="s">
        <v>394</v>
      </c>
      <c r="C22" s="122"/>
      <c r="D22" s="60"/>
      <c r="E22" s="60"/>
      <c r="F22" s="60">
        <v>1</v>
      </c>
      <c r="G22" s="60"/>
      <c r="H22" s="146">
        <v>2</v>
      </c>
      <c r="I22" s="146">
        <v>3</v>
      </c>
      <c r="J22" s="146"/>
      <c r="K22" s="146">
        <v>2</v>
      </c>
      <c r="L22" s="111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234">
        <f t="shared" si="1"/>
        <v>0</v>
      </c>
    </row>
    <row r="23" spans="1:24" outlineLevel="1" x14ac:dyDescent="0.25">
      <c r="A23" s="61" t="s">
        <v>116</v>
      </c>
      <c r="B23" s="122" t="s">
        <v>358</v>
      </c>
      <c r="C23" s="122"/>
      <c r="D23" s="60"/>
      <c r="E23" s="60"/>
      <c r="F23" s="60">
        <v>1</v>
      </c>
      <c r="G23" s="60"/>
      <c r="H23" s="146">
        <v>2</v>
      </c>
      <c r="I23" s="146" t="s">
        <v>382</v>
      </c>
      <c r="J23" s="146"/>
      <c r="K23" s="146"/>
      <c r="L23" s="111"/>
      <c r="M23" s="66"/>
      <c r="N23" s="66"/>
      <c r="O23" s="66"/>
      <c r="P23" s="66"/>
      <c r="Q23" s="66"/>
      <c r="R23" s="66"/>
      <c r="S23" s="66"/>
      <c r="T23" s="721"/>
      <c r="U23" s="66"/>
      <c r="V23" s="66"/>
      <c r="W23" s="265"/>
      <c r="X23" s="234">
        <f t="shared" si="1"/>
        <v>0</v>
      </c>
    </row>
    <row r="24" spans="1:24" outlineLevel="1" x14ac:dyDescent="0.25">
      <c r="A24" s="61" t="s">
        <v>116</v>
      </c>
      <c r="B24" s="122" t="s">
        <v>195</v>
      </c>
      <c r="C24" s="122"/>
      <c r="D24" s="60"/>
      <c r="E24" s="60"/>
      <c r="F24" s="60"/>
      <c r="G24" s="60"/>
      <c r="H24" s="146"/>
      <c r="I24" s="146" t="s">
        <v>382</v>
      </c>
      <c r="J24" s="146"/>
      <c r="K24" s="146"/>
      <c r="L24" s="111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265"/>
      <c r="X24" s="234">
        <f t="shared" si="1"/>
        <v>0</v>
      </c>
    </row>
    <row r="25" spans="1:24" outlineLevel="1" x14ac:dyDescent="0.25">
      <c r="A25" s="61" t="s">
        <v>116</v>
      </c>
      <c r="B25" s="122" t="s">
        <v>196</v>
      </c>
      <c r="C25" s="122"/>
      <c r="D25" s="60"/>
      <c r="E25" s="60"/>
      <c r="F25" s="60"/>
      <c r="G25" s="60"/>
      <c r="H25" s="146"/>
      <c r="I25" s="146" t="s">
        <v>382</v>
      </c>
      <c r="J25" s="146"/>
      <c r="K25" s="146"/>
      <c r="L25" s="111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265"/>
      <c r="X25" s="234">
        <f t="shared" si="1"/>
        <v>0</v>
      </c>
    </row>
    <row r="26" spans="1:24" outlineLevel="1" x14ac:dyDescent="0.25">
      <c r="A26" s="61" t="s">
        <v>116</v>
      </c>
      <c r="B26" s="122" t="s">
        <v>395</v>
      </c>
      <c r="C26" s="122"/>
      <c r="D26" s="60"/>
      <c r="E26" s="60"/>
      <c r="F26" s="60"/>
      <c r="G26" s="60"/>
      <c r="H26" s="146">
        <v>1</v>
      </c>
      <c r="I26" s="146">
        <v>4</v>
      </c>
      <c r="J26" s="146">
        <v>1</v>
      </c>
      <c r="K26" s="146">
        <v>2</v>
      </c>
      <c r="L26" s="111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265"/>
      <c r="X26" s="234">
        <f t="shared" si="1"/>
        <v>0</v>
      </c>
    </row>
    <row r="27" spans="1:24" outlineLevel="1" x14ac:dyDescent="0.25">
      <c r="A27" s="61" t="s">
        <v>116</v>
      </c>
      <c r="B27" s="122" t="s">
        <v>197</v>
      </c>
      <c r="C27" s="122"/>
      <c r="D27" s="60"/>
      <c r="E27" s="60"/>
      <c r="F27" s="60"/>
      <c r="G27" s="60"/>
      <c r="H27" s="146"/>
      <c r="I27" s="146" t="s">
        <v>382</v>
      </c>
      <c r="J27" s="146"/>
      <c r="K27" s="146"/>
      <c r="L27" s="111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265"/>
      <c r="X27" s="234">
        <f t="shared" si="1"/>
        <v>0</v>
      </c>
    </row>
    <row r="28" spans="1:24" outlineLevel="1" x14ac:dyDescent="0.25">
      <c r="A28" s="61" t="s">
        <v>116</v>
      </c>
      <c r="B28" s="122" t="s">
        <v>396</v>
      </c>
      <c r="C28" s="122"/>
      <c r="D28" s="60"/>
      <c r="E28" s="60"/>
      <c r="F28" s="60">
        <v>9</v>
      </c>
      <c r="G28" s="60">
        <v>8</v>
      </c>
      <c r="H28" s="146">
        <v>17</v>
      </c>
      <c r="I28" s="146">
        <v>17</v>
      </c>
      <c r="J28" s="146">
        <v>9</v>
      </c>
      <c r="K28" s="146">
        <v>8</v>
      </c>
      <c r="L28" s="111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265"/>
      <c r="X28" s="234">
        <f t="shared" si="1"/>
        <v>0</v>
      </c>
    </row>
    <row r="29" spans="1:24" outlineLevel="1" x14ac:dyDescent="0.25">
      <c r="A29" s="61" t="s">
        <v>116</v>
      </c>
      <c r="B29" s="122" t="s">
        <v>1135</v>
      </c>
      <c r="C29" s="122"/>
      <c r="D29" s="60"/>
      <c r="E29" s="60"/>
      <c r="F29" s="60"/>
      <c r="G29" s="60"/>
      <c r="H29" s="146"/>
      <c r="I29" s="146"/>
      <c r="J29" s="146"/>
      <c r="K29" s="146"/>
      <c r="L29" s="111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265"/>
      <c r="X29" s="234">
        <f t="shared" si="1"/>
        <v>0</v>
      </c>
    </row>
    <row r="30" spans="1:24" outlineLevel="1" x14ac:dyDescent="0.25">
      <c r="A30" s="61" t="s">
        <v>116</v>
      </c>
      <c r="B30" s="122" t="s">
        <v>198</v>
      </c>
      <c r="C30" s="122"/>
      <c r="D30" s="60"/>
      <c r="E30" s="60"/>
      <c r="F30" s="60">
        <v>1</v>
      </c>
      <c r="G30" s="60"/>
      <c r="H30" s="146"/>
      <c r="I30" s="146">
        <v>1</v>
      </c>
      <c r="J30" s="146">
        <v>1</v>
      </c>
      <c r="K30" s="146"/>
      <c r="L30" s="111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265"/>
      <c r="X30" s="234">
        <f t="shared" si="1"/>
        <v>0</v>
      </c>
    </row>
    <row r="31" spans="1:24" outlineLevel="1" x14ac:dyDescent="0.25">
      <c r="A31" s="61" t="s">
        <v>116</v>
      </c>
      <c r="B31" s="122" t="s">
        <v>397</v>
      </c>
      <c r="C31" s="122"/>
      <c r="D31" s="60"/>
      <c r="E31" s="60"/>
      <c r="F31" s="60"/>
      <c r="G31" s="60"/>
      <c r="H31" s="146">
        <v>2</v>
      </c>
      <c r="I31" s="146" t="s">
        <v>382</v>
      </c>
      <c r="J31" s="146">
        <v>2</v>
      </c>
      <c r="K31" s="146">
        <v>1</v>
      </c>
      <c r="L31" s="111"/>
      <c r="M31" s="66"/>
      <c r="N31" s="66"/>
      <c r="O31" s="66"/>
      <c r="P31" s="66"/>
      <c r="Q31" s="66"/>
      <c r="R31" s="66"/>
      <c r="S31" s="66"/>
      <c r="T31" s="66"/>
      <c r="U31" s="69"/>
      <c r="V31" s="66"/>
      <c r="W31" s="265"/>
      <c r="X31" s="234">
        <f t="shared" si="1"/>
        <v>0</v>
      </c>
    </row>
    <row r="32" spans="1:24" outlineLevel="1" x14ac:dyDescent="0.25">
      <c r="A32" s="61" t="s">
        <v>116</v>
      </c>
      <c r="B32" s="122" t="s">
        <v>199</v>
      </c>
      <c r="C32" s="122"/>
      <c r="D32" s="60"/>
      <c r="E32" s="60"/>
      <c r="F32" s="60"/>
      <c r="G32" s="60"/>
      <c r="H32" s="146"/>
      <c r="I32" s="146" t="s">
        <v>382</v>
      </c>
      <c r="J32" s="146"/>
      <c r="K32" s="146"/>
      <c r="L32" s="111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265"/>
      <c r="X32" s="234">
        <f t="shared" si="1"/>
        <v>0</v>
      </c>
    </row>
    <row r="33" spans="1:24" outlineLevel="1" x14ac:dyDescent="0.25">
      <c r="A33" s="61" t="s">
        <v>116</v>
      </c>
      <c r="B33" s="122" t="s">
        <v>398</v>
      </c>
      <c r="C33" s="122"/>
      <c r="D33" s="60"/>
      <c r="E33" s="60"/>
      <c r="F33" s="60"/>
      <c r="G33" s="60"/>
      <c r="H33" s="146"/>
      <c r="I33" s="146" t="s">
        <v>382</v>
      </c>
      <c r="J33" s="146"/>
      <c r="K33" s="146"/>
      <c r="L33" s="111"/>
      <c r="M33" s="69"/>
      <c r="N33" s="66"/>
      <c r="O33" s="66"/>
      <c r="P33" s="66"/>
      <c r="Q33" s="66"/>
      <c r="R33" s="66"/>
      <c r="S33" s="722"/>
      <c r="T33" s="66"/>
      <c r="U33" s="66"/>
      <c r="V33" s="66"/>
      <c r="W33" s="265"/>
      <c r="X33" s="234">
        <f t="shared" si="1"/>
        <v>0</v>
      </c>
    </row>
    <row r="34" spans="1:24" outlineLevel="1" x14ac:dyDescent="0.25">
      <c r="A34" s="61" t="s">
        <v>116</v>
      </c>
      <c r="B34" s="122" t="s">
        <v>1138</v>
      </c>
      <c r="C34" s="122"/>
      <c r="D34" s="60"/>
      <c r="E34" s="60"/>
      <c r="F34" s="60">
        <v>1</v>
      </c>
      <c r="G34" s="60">
        <v>2</v>
      </c>
      <c r="H34" s="146">
        <v>2</v>
      </c>
      <c r="I34" s="146">
        <v>6</v>
      </c>
      <c r="J34" s="146">
        <v>2</v>
      </c>
      <c r="K34" s="146">
        <v>5</v>
      </c>
      <c r="L34" s="111"/>
      <c r="M34" s="69"/>
      <c r="N34" s="66"/>
      <c r="O34" s="66"/>
      <c r="P34" s="66"/>
      <c r="Q34" s="66"/>
      <c r="R34" s="66"/>
      <c r="S34" s="66"/>
      <c r="T34" s="66"/>
      <c r="U34" s="66"/>
      <c r="V34" s="69"/>
      <c r="W34" s="265"/>
      <c r="X34" s="234">
        <f t="shared" si="1"/>
        <v>0</v>
      </c>
    </row>
    <row r="35" spans="1:24" outlineLevel="1" x14ac:dyDescent="0.25">
      <c r="A35" s="61" t="s">
        <v>116</v>
      </c>
      <c r="B35" s="122" t="s">
        <v>357</v>
      </c>
      <c r="C35" s="122"/>
      <c r="D35" s="60"/>
      <c r="E35" s="60"/>
      <c r="F35" s="60"/>
      <c r="G35" s="60">
        <v>2</v>
      </c>
      <c r="H35" s="146">
        <v>1</v>
      </c>
      <c r="I35" s="146" t="s">
        <v>382</v>
      </c>
      <c r="J35" s="146"/>
      <c r="K35" s="146">
        <v>3</v>
      </c>
      <c r="L35" s="110"/>
      <c r="M35" s="66"/>
      <c r="N35" s="66"/>
      <c r="O35" s="66"/>
      <c r="P35" s="66"/>
      <c r="Q35" s="66"/>
      <c r="R35" s="66"/>
      <c r="S35" s="69"/>
      <c r="T35" s="69"/>
      <c r="U35" s="69"/>
      <c r="V35" s="69"/>
      <c r="W35" s="267"/>
      <c r="X35" s="234">
        <f t="shared" si="1"/>
        <v>0</v>
      </c>
    </row>
    <row r="36" spans="1:24" outlineLevel="1" x14ac:dyDescent="0.25">
      <c r="A36" s="61" t="s">
        <v>116</v>
      </c>
      <c r="B36" s="122" t="s">
        <v>200</v>
      </c>
      <c r="C36" s="122"/>
      <c r="D36" s="60"/>
      <c r="E36" s="60"/>
      <c r="F36" s="60"/>
      <c r="G36" s="60"/>
      <c r="H36" s="146"/>
      <c r="I36" s="146" t="s">
        <v>382</v>
      </c>
      <c r="J36" s="146"/>
      <c r="K36" s="146"/>
      <c r="L36" s="110"/>
      <c r="M36" s="66"/>
      <c r="N36" s="66"/>
      <c r="O36" s="66"/>
      <c r="P36" s="66"/>
      <c r="Q36" s="66"/>
      <c r="R36" s="66"/>
      <c r="S36" s="69"/>
      <c r="T36" s="69"/>
      <c r="U36" s="69"/>
      <c r="V36" s="69"/>
      <c r="W36" s="265"/>
      <c r="X36" s="234">
        <f t="shared" si="1"/>
        <v>0</v>
      </c>
    </row>
    <row r="37" spans="1:24" outlineLevel="1" x14ac:dyDescent="0.25">
      <c r="A37" s="61" t="s">
        <v>116</v>
      </c>
      <c r="B37" s="122" t="s">
        <v>201</v>
      </c>
      <c r="C37" s="122"/>
      <c r="D37" s="60"/>
      <c r="E37" s="60"/>
      <c r="F37" s="60"/>
      <c r="G37" s="60"/>
      <c r="H37" s="146"/>
      <c r="I37" s="146" t="s">
        <v>382</v>
      </c>
      <c r="J37" s="146"/>
      <c r="K37" s="146"/>
      <c r="L37" s="110"/>
      <c r="M37" s="66"/>
      <c r="N37" s="66"/>
      <c r="O37" s="66"/>
      <c r="P37" s="66"/>
      <c r="Q37" s="66"/>
      <c r="R37" s="66"/>
      <c r="S37" s="69"/>
      <c r="T37" s="69"/>
      <c r="U37" s="69"/>
      <c r="V37" s="69"/>
      <c r="W37" s="265"/>
      <c r="X37" s="234">
        <f t="shared" si="1"/>
        <v>0</v>
      </c>
    </row>
    <row r="38" spans="1:24" outlineLevel="1" x14ac:dyDescent="0.25">
      <c r="A38" s="61" t="s">
        <v>116</v>
      </c>
      <c r="B38" s="122" t="s">
        <v>399</v>
      </c>
      <c r="C38" s="122"/>
      <c r="D38" s="60"/>
      <c r="E38" s="60"/>
      <c r="F38" s="60"/>
      <c r="G38" s="60"/>
      <c r="H38" s="146"/>
      <c r="I38" s="146" t="s">
        <v>382</v>
      </c>
      <c r="J38" s="146"/>
      <c r="K38" s="146"/>
      <c r="L38" s="111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265"/>
      <c r="X38" s="234">
        <f t="shared" ref="X38:X44" si="2">SUM(L38:W38)</f>
        <v>0</v>
      </c>
    </row>
    <row r="39" spans="1:24" outlineLevel="1" x14ac:dyDescent="0.25">
      <c r="A39" s="61" t="s">
        <v>116</v>
      </c>
      <c r="B39" s="122" t="s">
        <v>400</v>
      </c>
      <c r="C39" s="122"/>
      <c r="D39" s="60"/>
      <c r="E39" s="60">
        <v>1</v>
      </c>
      <c r="F39" s="60">
        <v>2</v>
      </c>
      <c r="G39" s="60">
        <v>1</v>
      </c>
      <c r="H39" s="146">
        <v>2</v>
      </c>
      <c r="I39" s="146">
        <v>2</v>
      </c>
      <c r="J39" s="146">
        <v>1</v>
      </c>
      <c r="K39" s="146">
        <v>1</v>
      </c>
      <c r="L39" s="111"/>
      <c r="M39" s="66"/>
      <c r="N39" s="66"/>
      <c r="O39" s="66"/>
      <c r="P39" s="722"/>
      <c r="Q39" s="66"/>
      <c r="R39" s="66"/>
      <c r="S39" s="66"/>
      <c r="T39" s="66"/>
      <c r="U39" s="66"/>
      <c r="V39" s="66"/>
      <c r="W39" s="66"/>
      <c r="X39" s="234">
        <f t="shared" si="2"/>
        <v>0</v>
      </c>
    </row>
    <row r="40" spans="1:24" outlineLevel="1" x14ac:dyDescent="0.25">
      <c r="A40" s="61" t="s">
        <v>116</v>
      </c>
      <c r="B40" s="122" t="s">
        <v>202</v>
      </c>
      <c r="C40" s="122"/>
      <c r="D40" s="60"/>
      <c r="E40" s="60"/>
      <c r="F40" s="60"/>
      <c r="G40" s="60"/>
      <c r="H40" s="146"/>
      <c r="I40" s="146" t="s">
        <v>382</v>
      </c>
      <c r="J40" s="146"/>
      <c r="K40" s="146"/>
      <c r="L40" s="111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265"/>
      <c r="X40" s="234">
        <f t="shared" si="2"/>
        <v>0</v>
      </c>
    </row>
    <row r="41" spans="1:24" outlineLevel="1" x14ac:dyDescent="0.25">
      <c r="A41" s="61" t="s">
        <v>116</v>
      </c>
      <c r="B41" s="122" t="s">
        <v>203</v>
      </c>
      <c r="C41" s="122"/>
      <c r="D41" s="60"/>
      <c r="E41" s="60"/>
      <c r="F41" s="60"/>
      <c r="G41" s="60"/>
      <c r="H41" s="146"/>
      <c r="I41" s="146" t="s">
        <v>382</v>
      </c>
      <c r="J41" s="146"/>
      <c r="K41" s="146"/>
      <c r="L41" s="111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265"/>
      <c r="X41" s="234">
        <f t="shared" si="2"/>
        <v>0</v>
      </c>
    </row>
    <row r="42" spans="1:24" outlineLevel="1" x14ac:dyDescent="0.25">
      <c r="A42" s="61" t="s">
        <v>116</v>
      </c>
      <c r="B42" s="122" t="s">
        <v>204</v>
      </c>
      <c r="C42" s="122"/>
      <c r="D42" s="60"/>
      <c r="E42" s="60"/>
      <c r="F42" s="60"/>
      <c r="G42" s="60"/>
      <c r="H42" s="146"/>
      <c r="I42" s="146" t="s">
        <v>382</v>
      </c>
      <c r="J42" s="146"/>
      <c r="K42" s="146"/>
      <c r="L42" s="111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265"/>
      <c r="X42" s="234">
        <f t="shared" si="2"/>
        <v>0</v>
      </c>
    </row>
    <row r="43" spans="1:24" outlineLevel="1" x14ac:dyDescent="0.25">
      <c r="A43" s="61" t="s">
        <v>116</v>
      </c>
      <c r="B43" s="122" t="s">
        <v>205</v>
      </c>
      <c r="C43" s="122"/>
      <c r="D43" s="60"/>
      <c r="E43" s="60"/>
      <c r="F43" s="60"/>
      <c r="G43" s="60"/>
      <c r="H43" s="146"/>
      <c r="I43" s="146" t="s">
        <v>382</v>
      </c>
      <c r="J43" s="146"/>
      <c r="K43" s="146"/>
      <c r="L43" s="111"/>
      <c r="M43" s="69"/>
      <c r="N43" s="66"/>
      <c r="O43" s="66"/>
      <c r="P43" s="66"/>
      <c r="Q43" s="66"/>
      <c r="R43" s="66"/>
      <c r="S43" s="66"/>
      <c r="T43" s="66"/>
      <c r="U43" s="66"/>
      <c r="V43" s="66"/>
      <c r="W43" s="265"/>
      <c r="X43" s="234">
        <f t="shared" si="2"/>
        <v>0</v>
      </c>
    </row>
    <row r="44" spans="1:24" outlineLevel="1" x14ac:dyDescent="0.25">
      <c r="A44" s="61" t="s">
        <v>116</v>
      </c>
      <c r="B44" s="122" t="s">
        <v>206</v>
      </c>
      <c r="C44" s="122"/>
      <c r="D44" s="60"/>
      <c r="E44" s="60"/>
      <c r="F44" s="60"/>
      <c r="G44" s="60"/>
      <c r="H44" s="146"/>
      <c r="I44" s="146" t="s">
        <v>382</v>
      </c>
      <c r="J44" s="146"/>
      <c r="K44" s="146"/>
      <c r="L44" s="111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265"/>
      <c r="X44" s="234">
        <f t="shared" si="2"/>
        <v>0</v>
      </c>
    </row>
    <row r="45" spans="1:24" outlineLevel="1" x14ac:dyDescent="0.25">
      <c r="A45" s="61" t="s">
        <v>116</v>
      </c>
      <c r="B45" s="122" t="s">
        <v>401</v>
      </c>
      <c r="D45" s="60"/>
      <c r="E45" s="60"/>
      <c r="F45" s="60"/>
      <c r="G45" s="60"/>
      <c r="H45" s="146"/>
      <c r="I45" s="146"/>
      <c r="J45" s="146"/>
      <c r="K45" s="146"/>
      <c r="L45" s="111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265"/>
      <c r="X45" s="234">
        <f t="shared" ref="X45" si="3">SUM(L45:W45)</f>
        <v>0</v>
      </c>
    </row>
    <row r="46" spans="1:24" outlineLevel="1" x14ac:dyDescent="0.25">
      <c r="A46" s="61" t="s">
        <v>116</v>
      </c>
      <c r="B46" s="122" t="s">
        <v>402</v>
      </c>
      <c r="C46" s="122"/>
      <c r="D46" s="60"/>
      <c r="E46" s="60"/>
      <c r="F46" s="60"/>
      <c r="G46" s="60"/>
      <c r="H46" s="146"/>
      <c r="I46" s="146" t="s">
        <v>382</v>
      </c>
      <c r="J46" s="146"/>
      <c r="K46" s="146"/>
      <c r="L46" s="111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265"/>
      <c r="X46" s="234">
        <f t="shared" ref="X46:X69" si="4">SUM(L46:W46)</f>
        <v>0</v>
      </c>
    </row>
    <row r="47" spans="1:24" outlineLevel="1" x14ac:dyDescent="0.25">
      <c r="A47" s="61" t="s">
        <v>116</v>
      </c>
      <c r="B47" s="122" t="s">
        <v>403</v>
      </c>
      <c r="C47" s="122"/>
      <c r="D47" s="60"/>
      <c r="E47" s="60"/>
      <c r="F47" s="60">
        <v>1</v>
      </c>
      <c r="G47" s="60"/>
      <c r="H47" s="146">
        <v>1</v>
      </c>
      <c r="I47" s="146">
        <v>5</v>
      </c>
      <c r="J47" s="146"/>
      <c r="K47" s="146"/>
      <c r="L47" s="111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265"/>
      <c r="X47" s="234">
        <f t="shared" si="4"/>
        <v>0</v>
      </c>
    </row>
    <row r="48" spans="1:24" outlineLevel="1" x14ac:dyDescent="0.25">
      <c r="A48" s="61" t="s">
        <v>116</v>
      </c>
      <c r="B48" s="122" t="s">
        <v>207</v>
      </c>
      <c r="C48" s="122"/>
      <c r="D48" s="60"/>
      <c r="E48" s="60"/>
      <c r="F48" s="60"/>
      <c r="G48" s="60"/>
      <c r="H48" s="146"/>
      <c r="I48" s="146" t="s">
        <v>382</v>
      </c>
      <c r="J48" s="146"/>
      <c r="K48" s="146"/>
      <c r="L48" s="110"/>
      <c r="M48" s="69"/>
      <c r="N48" s="66"/>
      <c r="O48" s="66"/>
      <c r="P48" s="66"/>
      <c r="Q48" s="66"/>
      <c r="R48" s="66"/>
      <c r="S48" s="69"/>
      <c r="T48" s="69"/>
      <c r="U48" s="69"/>
      <c r="V48" s="69"/>
      <c r="W48" s="267"/>
      <c r="X48" s="234">
        <f t="shared" si="4"/>
        <v>0</v>
      </c>
    </row>
    <row r="49" spans="1:24" outlineLevel="1" x14ac:dyDescent="0.25">
      <c r="A49" s="61" t="s">
        <v>116</v>
      </c>
      <c r="B49" s="122" t="s">
        <v>404</v>
      </c>
      <c r="C49" s="122"/>
      <c r="D49" s="60"/>
      <c r="E49" s="60"/>
      <c r="F49" s="60"/>
      <c r="G49" s="60"/>
      <c r="H49" s="146"/>
      <c r="I49" s="146" t="s">
        <v>382</v>
      </c>
      <c r="J49" s="146"/>
      <c r="K49" s="146"/>
      <c r="L49" s="111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265"/>
      <c r="X49" s="234">
        <f t="shared" si="4"/>
        <v>0</v>
      </c>
    </row>
    <row r="50" spans="1:24" outlineLevel="1" x14ac:dyDescent="0.25">
      <c r="A50" s="156" t="s">
        <v>116</v>
      </c>
      <c r="B50" s="152" t="s">
        <v>405</v>
      </c>
      <c r="C50" s="152"/>
      <c r="D50" s="46"/>
      <c r="E50" s="46"/>
      <c r="F50" s="46"/>
      <c r="G50" s="46"/>
      <c r="H50" s="135"/>
      <c r="I50" s="135" t="s">
        <v>382</v>
      </c>
      <c r="J50" s="135"/>
      <c r="K50" s="135"/>
      <c r="L50" s="268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269"/>
      <c r="X50" s="234">
        <f t="shared" si="4"/>
        <v>0</v>
      </c>
    </row>
    <row r="51" spans="1:24" ht="15.75" outlineLevel="1" thickBot="1" x14ac:dyDescent="0.3">
      <c r="A51" s="145" t="s">
        <v>116</v>
      </c>
      <c r="B51" s="124" t="s">
        <v>406</v>
      </c>
      <c r="C51" s="124"/>
      <c r="D51" s="37"/>
      <c r="E51" s="37"/>
      <c r="F51" s="37"/>
      <c r="G51" s="37"/>
      <c r="H51" s="144"/>
      <c r="I51" s="144" t="s">
        <v>382</v>
      </c>
      <c r="J51" s="144"/>
      <c r="K51" s="144"/>
      <c r="L51" s="271"/>
      <c r="M51" s="723"/>
      <c r="N51" s="65"/>
      <c r="O51" s="65"/>
      <c r="P51" s="65"/>
      <c r="Q51" s="65"/>
      <c r="R51" s="65"/>
      <c r="S51" s="65"/>
      <c r="T51" s="65"/>
      <c r="U51" s="65"/>
      <c r="V51" s="65"/>
      <c r="W51" s="272"/>
      <c r="X51" s="235">
        <f t="shared" si="4"/>
        <v>0</v>
      </c>
    </row>
    <row r="52" spans="1:24" outlineLevel="1" x14ac:dyDescent="0.25">
      <c r="A52" s="61" t="s">
        <v>220</v>
      </c>
      <c r="B52" s="160" t="s">
        <v>222</v>
      </c>
      <c r="C52" s="160"/>
      <c r="D52" s="60"/>
      <c r="E52" s="60"/>
      <c r="F52" s="60"/>
      <c r="G52" s="60"/>
      <c r="H52" s="146"/>
      <c r="I52" s="146" t="s">
        <v>382</v>
      </c>
      <c r="J52" s="146"/>
      <c r="K52" s="146"/>
      <c r="L52" s="111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265"/>
      <c r="X52" s="234">
        <f t="shared" si="4"/>
        <v>0</v>
      </c>
    </row>
    <row r="53" spans="1:24" outlineLevel="1" x14ac:dyDescent="0.25">
      <c r="A53" s="61" t="s">
        <v>220</v>
      </c>
      <c r="B53" s="160" t="s">
        <v>223</v>
      </c>
      <c r="C53" s="160"/>
      <c r="D53" s="60"/>
      <c r="E53" s="60"/>
      <c r="F53" s="60"/>
      <c r="G53" s="60"/>
      <c r="H53" s="146"/>
      <c r="I53" s="146" t="s">
        <v>382</v>
      </c>
      <c r="J53" s="146"/>
      <c r="K53" s="146"/>
      <c r="L53" s="111"/>
      <c r="M53" s="69"/>
      <c r="N53" s="66"/>
      <c r="O53" s="66"/>
      <c r="P53" s="66"/>
      <c r="Q53" s="66"/>
      <c r="R53" s="66"/>
      <c r="S53" s="66"/>
      <c r="T53" s="66"/>
      <c r="U53" s="66"/>
      <c r="V53" s="66"/>
      <c r="W53" s="265"/>
      <c r="X53" s="234">
        <f t="shared" si="4"/>
        <v>0</v>
      </c>
    </row>
    <row r="54" spans="1:24" outlineLevel="1" x14ac:dyDescent="0.25">
      <c r="A54" s="61" t="s">
        <v>220</v>
      </c>
      <c r="B54" s="160" t="s">
        <v>224</v>
      </c>
      <c r="C54" s="160"/>
      <c r="D54" s="60"/>
      <c r="E54" s="60"/>
      <c r="F54" s="60"/>
      <c r="G54" s="60"/>
      <c r="H54" s="146"/>
      <c r="I54" s="146" t="s">
        <v>382</v>
      </c>
      <c r="J54" s="146"/>
      <c r="K54" s="146"/>
      <c r="L54" s="111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265"/>
      <c r="X54" s="234">
        <f t="shared" si="4"/>
        <v>0</v>
      </c>
    </row>
    <row r="55" spans="1:24" outlineLevel="1" x14ac:dyDescent="0.25">
      <c r="A55" s="61" t="s">
        <v>220</v>
      </c>
      <c r="B55" s="160" t="s">
        <v>225</v>
      </c>
      <c r="C55" s="160"/>
      <c r="D55" s="60"/>
      <c r="E55" s="60"/>
      <c r="F55" s="60"/>
      <c r="G55" s="60"/>
      <c r="H55" s="146"/>
      <c r="I55" s="146" t="s">
        <v>382</v>
      </c>
      <c r="J55" s="146"/>
      <c r="K55" s="146"/>
      <c r="L55" s="111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265"/>
      <c r="X55" s="234">
        <f t="shared" si="4"/>
        <v>0</v>
      </c>
    </row>
    <row r="56" spans="1:24" ht="15.75" outlineLevel="1" thickBot="1" x14ac:dyDescent="0.3">
      <c r="A56" s="145" t="s">
        <v>220</v>
      </c>
      <c r="B56" s="159" t="s">
        <v>226</v>
      </c>
      <c r="C56" s="159"/>
      <c r="D56" s="37"/>
      <c r="E56" s="37"/>
      <c r="F56" s="37"/>
      <c r="G56" s="37"/>
      <c r="H56" s="144"/>
      <c r="I56" s="144" t="s">
        <v>382</v>
      </c>
      <c r="J56" s="144"/>
      <c r="K56" s="144"/>
      <c r="L56" s="715"/>
      <c r="M56" s="108"/>
      <c r="N56" s="108"/>
      <c r="O56" s="65"/>
      <c r="P56" s="65"/>
      <c r="Q56" s="65"/>
      <c r="R56" s="65"/>
      <c r="S56" s="65"/>
      <c r="T56" s="65"/>
      <c r="U56" s="65"/>
      <c r="V56" s="65"/>
      <c r="W56" s="272"/>
      <c r="X56" s="235">
        <f t="shared" si="4"/>
        <v>0</v>
      </c>
    </row>
    <row r="57" spans="1:24" outlineLevel="1" x14ac:dyDescent="0.25">
      <c r="A57" s="61" t="s">
        <v>113</v>
      </c>
      <c r="B57" s="122" t="s">
        <v>183</v>
      </c>
      <c r="C57" s="122"/>
      <c r="D57" s="60"/>
      <c r="E57" s="60"/>
      <c r="F57" s="60"/>
      <c r="G57" s="60"/>
      <c r="H57" s="146"/>
      <c r="I57" s="146">
        <v>3</v>
      </c>
      <c r="J57" s="146"/>
      <c r="K57" s="146"/>
      <c r="L57" s="111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265"/>
      <c r="X57" s="234">
        <f t="shared" si="4"/>
        <v>0</v>
      </c>
    </row>
    <row r="58" spans="1:24" outlineLevel="1" x14ac:dyDescent="0.25">
      <c r="A58" s="61" t="s">
        <v>113</v>
      </c>
      <c r="B58" s="122" t="s">
        <v>407</v>
      </c>
      <c r="C58" s="122"/>
      <c r="D58" s="60"/>
      <c r="E58" s="60"/>
      <c r="F58" s="60">
        <v>2</v>
      </c>
      <c r="G58" s="60">
        <v>1</v>
      </c>
      <c r="H58" s="146"/>
      <c r="I58" s="146" t="s">
        <v>382</v>
      </c>
      <c r="J58" s="146"/>
      <c r="K58" s="146"/>
      <c r="L58" s="111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265"/>
      <c r="X58" s="234">
        <f t="shared" si="4"/>
        <v>0</v>
      </c>
    </row>
    <row r="59" spans="1:24" outlineLevel="1" x14ac:dyDescent="0.25">
      <c r="A59" s="61" t="s">
        <v>113</v>
      </c>
      <c r="B59" s="122" t="s">
        <v>408</v>
      </c>
      <c r="C59" s="122"/>
      <c r="D59" s="60"/>
      <c r="E59" s="60">
        <v>7</v>
      </c>
      <c r="F59" s="60">
        <v>9</v>
      </c>
      <c r="G59" s="60">
        <v>4</v>
      </c>
      <c r="H59" s="146">
        <v>6</v>
      </c>
      <c r="I59" s="146">
        <v>9</v>
      </c>
      <c r="J59" s="146">
        <v>6</v>
      </c>
      <c r="K59" s="146">
        <v>8</v>
      </c>
      <c r="L59" s="716"/>
      <c r="M59" s="717"/>
      <c r="N59" s="717"/>
      <c r="O59" s="66"/>
      <c r="P59" s="66"/>
      <c r="Q59" s="66"/>
      <c r="R59" s="66"/>
      <c r="S59" s="66"/>
      <c r="T59" s="66"/>
      <c r="U59" s="66"/>
      <c r="V59" s="66"/>
      <c r="W59" s="265"/>
      <c r="X59" s="234">
        <f t="shared" si="4"/>
        <v>0</v>
      </c>
    </row>
    <row r="60" spans="1:24" outlineLevel="1" x14ac:dyDescent="0.25">
      <c r="A60" s="61" t="s">
        <v>113</v>
      </c>
      <c r="B60" s="122" t="s">
        <v>409</v>
      </c>
      <c r="C60" s="122"/>
      <c r="D60" s="60"/>
      <c r="E60" s="60"/>
      <c r="F60" s="60"/>
      <c r="G60" s="60"/>
      <c r="H60" s="146"/>
      <c r="I60" s="146" t="s">
        <v>382</v>
      </c>
      <c r="J60" s="146"/>
      <c r="K60" s="146"/>
      <c r="L60" s="111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265"/>
      <c r="X60" s="234">
        <f t="shared" si="4"/>
        <v>0</v>
      </c>
    </row>
    <row r="61" spans="1:24" outlineLevel="1" x14ac:dyDescent="0.25">
      <c r="A61" s="61" t="s">
        <v>113</v>
      </c>
      <c r="B61" s="122" t="s">
        <v>410</v>
      </c>
      <c r="C61" s="122"/>
      <c r="D61" s="60"/>
      <c r="E61" s="60"/>
      <c r="F61" s="60"/>
      <c r="G61" s="60"/>
      <c r="H61" s="146"/>
      <c r="I61" s="146" t="s">
        <v>382</v>
      </c>
      <c r="J61" s="146"/>
      <c r="K61" s="146"/>
      <c r="L61" s="111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265"/>
      <c r="X61" s="234">
        <f t="shared" si="4"/>
        <v>0</v>
      </c>
    </row>
    <row r="62" spans="1:24" outlineLevel="1" x14ac:dyDescent="0.25">
      <c r="A62" s="61" t="s">
        <v>113</v>
      </c>
      <c r="B62" s="122" t="s">
        <v>411</v>
      </c>
      <c r="C62" s="122"/>
      <c r="D62" s="60"/>
      <c r="E62" s="60">
        <v>3</v>
      </c>
      <c r="F62" s="60">
        <v>2</v>
      </c>
      <c r="G62" s="60"/>
      <c r="H62" s="146">
        <v>2</v>
      </c>
      <c r="I62" s="146">
        <v>1</v>
      </c>
      <c r="J62" s="146">
        <v>1</v>
      </c>
      <c r="K62" s="146">
        <v>2</v>
      </c>
      <c r="L62" s="111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265"/>
      <c r="X62" s="234">
        <f t="shared" si="4"/>
        <v>0</v>
      </c>
    </row>
    <row r="63" spans="1:24" ht="15.75" outlineLevel="1" thickBot="1" x14ac:dyDescent="0.3">
      <c r="A63" s="145" t="s">
        <v>113</v>
      </c>
      <c r="B63" s="124" t="s">
        <v>412</v>
      </c>
      <c r="C63" s="124"/>
      <c r="D63" s="37"/>
      <c r="E63" s="37"/>
      <c r="F63" s="37"/>
      <c r="G63" s="37"/>
      <c r="H63" s="144"/>
      <c r="I63" s="144" t="s">
        <v>382</v>
      </c>
      <c r="J63" s="144"/>
      <c r="K63" s="144"/>
      <c r="L63" s="271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272"/>
      <c r="X63" s="235">
        <f t="shared" si="4"/>
        <v>0</v>
      </c>
    </row>
    <row r="64" spans="1:24" outlineLevel="1" x14ac:dyDescent="0.25">
      <c r="A64" s="61" t="s">
        <v>182</v>
      </c>
      <c r="B64" s="122" t="s">
        <v>413</v>
      </c>
      <c r="C64" s="122"/>
      <c r="D64" s="60"/>
      <c r="E64" s="60"/>
      <c r="F64" s="60"/>
      <c r="G64" s="60"/>
      <c r="H64" s="146"/>
      <c r="I64" s="146" t="s">
        <v>382</v>
      </c>
      <c r="J64" s="146"/>
      <c r="K64" s="146"/>
      <c r="L64" s="111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265"/>
      <c r="X64" s="234">
        <f t="shared" si="4"/>
        <v>0</v>
      </c>
    </row>
    <row r="65" spans="1:24" outlineLevel="1" x14ac:dyDescent="0.25">
      <c r="A65" s="156" t="s">
        <v>182</v>
      </c>
      <c r="B65" s="152" t="s">
        <v>414</v>
      </c>
      <c r="C65" s="152"/>
      <c r="D65" s="46"/>
      <c r="E65" s="46"/>
      <c r="F65" s="46"/>
      <c r="G65" s="46"/>
      <c r="H65" s="135"/>
      <c r="I65" s="135" t="s">
        <v>382</v>
      </c>
      <c r="J65" s="135"/>
      <c r="K65" s="135"/>
      <c r="L65" s="268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269"/>
      <c r="X65" s="237">
        <f t="shared" si="4"/>
        <v>0</v>
      </c>
    </row>
    <row r="66" spans="1:24" outlineLevel="1" x14ac:dyDescent="0.25">
      <c r="A66" s="61" t="s">
        <v>182</v>
      </c>
      <c r="B66" s="122" t="s">
        <v>415</v>
      </c>
      <c r="C66" s="122"/>
      <c r="D66" s="60"/>
      <c r="E66" s="60"/>
      <c r="F66" s="60"/>
      <c r="G66" s="60"/>
      <c r="H66" s="146"/>
      <c r="I66" s="146" t="s">
        <v>382</v>
      </c>
      <c r="J66" s="146"/>
      <c r="K66" s="146"/>
      <c r="L66" s="111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265"/>
      <c r="X66" s="234">
        <f t="shared" si="4"/>
        <v>0</v>
      </c>
    </row>
    <row r="67" spans="1:24" outlineLevel="1" x14ac:dyDescent="0.25">
      <c r="A67" s="156" t="s">
        <v>182</v>
      </c>
      <c r="B67" s="152" t="s">
        <v>416</v>
      </c>
      <c r="C67" s="152"/>
      <c r="D67" s="46"/>
      <c r="E67" s="46"/>
      <c r="F67" s="46"/>
      <c r="G67" s="46"/>
      <c r="H67" s="135"/>
      <c r="I67" s="135" t="s">
        <v>382</v>
      </c>
      <c r="J67" s="135"/>
      <c r="K67" s="135"/>
      <c r="L67" s="268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269"/>
      <c r="X67" s="237">
        <f t="shared" si="4"/>
        <v>0</v>
      </c>
    </row>
    <row r="68" spans="1:24" outlineLevel="1" x14ac:dyDescent="0.25">
      <c r="A68" s="61" t="s">
        <v>182</v>
      </c>
      <c r="B68" s="122" t="s">
        <v>183</v>
      </c>
      <c r="C68" s="122"/>
      <c r="D68" s="60"/>
      <c r="E68" s="60"/>
      <c r="F68" s="60"/>
      <c r="G68" s="60"/>
      <c r="H68" s="146"/>
      <c r="I68" s="146" t="s">
        <v>382</v>
      </c>
      <c r="J68" s="146"/>
      <c r="K68" s="146"/>
      <c r="L68" s="111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265"/>
      <c r="X68" s="234">
        <f t="shared" si="4"/>
        <v>0</v>
      </c>
    </row>
    <row r="69" spans="1:24" ht="15.75" outlineLevel="1" thickBot="1" x14ac:dyDescent="0.3">
      <c r="A69" s="156" t="s">
        <v>182</v>
      </c>
      <c r="B69" s="152" t="s">
        <v>417</v>
      </c>
      <c r="C69" s="152"/>
      <c r="D69" s="46"/>
      <c r="E69" s="46"/>
      <c r="F69" s="46"/>
      <c r="G69" s="46"/>
      <c r="H69" s="135"/>
      <c r="I69" s="135" t="s">
        <v>382</v>
      </c>
      <c r="J69" s="135"/>
      <c r="K69" s="135"/>
      <c r="L69" s="268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269"/>
      <c r="X69" s="237">
        <f t="shared" si="4"/>
        <v>0</v>
      </c>
    </row>
    <row r="70" spans="1:24" ht="15.75" thickBot="1" x14ac:dyDescent="0.3">
      <c r="A70" s="760" t="s">
        <v>418</v>
      </c>
      <c r="B70" s="761"/>
      <c r="C70" s="761"/>
      <c r="D70" s="22">
        <v>0</v>
      </c>
      <c r="E70" s="22">
        <v>11</v>
      </c>
      <c r="F70" s="22">
        <v>31</v>
      </c>
      <c r="G70" s="22">
        <v>18</v>
      </c>
      <c r="H70" s="22">
        <v>49</v>
      </c>
      <c r="I70" s="22">
        <v>55</v>
      </c>
      <c r="J70" s="22">
        <v>23</v>
      </c>
      <c r="K70" s="22">
        <v>35</v>
      </c>
      <c r="L70" s="273">
        <f t="shared" ref="L70:W70" si="5">SUM(L6:L65)</f>
        <v>0</v>
      </c>
      <c r="M70" s="158">
        <f t="shared" si="5"/>
        <v>0</v>
      </c>
      <c r="N70" s="158">
        <f t="shared" si="5"/>
        <v>0</v>
      </c>
      <c r="O70" s="158">
        <f t="shared" si="5"/>
        <v>0</v>
      </c>
      <c r="P70" s="158">
        <f t="shared" si="5"/>
        <v>0</v>
      </c>
      <c r="Q70" s="158">
        <f t="shared" si="5"/>
        <v>0</v>
      </c>
      <c r="R70" s="573">
        <f>SUM(R6:R65)</f>
        <v>0</v>
      </c>
      <c r="S70" s="158">
        <f t="shared" si="5"/>
        <v>0</v>
      </c>
      <c r="T70" s="158">
        <f t="shared" si="5"/>
        <v>0</v>
      </c>
      <c r="U70" s="158">
        <f t="shared" si="5"/>
        <v>0</v>
      </c>
      <c r="V70" s="158">
        <f t="shared" si="5"/>
        <v>0</v>
      </c>
      <c r="W70" s="274">
        <f t="shared" si="5"/>
        <v>0</v>
      </c>
      <c r="X70" s="63">
        <f>SUM(X6:X69)</f>
        <v>0</v>
      </c>
    </row>
    <row r="71" spans="1:24" outlineLevel="1" x14ac:dyDescent="0.25">
      <c r="A71" s="62" t="s">
        <v>419</v>
      </c>
      <c r="B71" s="119" t="s">
        <v>420</v>
      </c>
      <c r="C71" s="119"/>
      <c r="D71" s="33"/>
      <c r="E71" s="33"/>
      <c r="F71" s="33"/>
      <c r="G71" s="33"/>
      <c r="H71" s="148"/>
      <c r="I71" s="148" t="s">
        <v>382</v>
      </c>
      <c r="J71" s="148" t="s">
        <v>382</v>
      </c>
      <c r="K71" s="148" t="s">
        <v>382</v>
      </c>
      <c r="L71" s="275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276"/>
      <c r="X71" s="236">
        <f t="shared" ref="X71:X79" si="6">SUM(L71:W71)</f>
        <v>0</v>
      </c>
    </row>
    <row r="72" spans="1:24" outlineLevel="1" x14ac:dyDescent="0.25">
      <c r="A72" s="61" t="s">
        <v>419</v>
      </c>
      <c r="B72" s="115" t="s">
        <v>421</v>
      </c>
      <c r="C72" s="115"/>
      <c r="D72" s="60"/>
      <c r="E72" s="60"/>
      <c r="F72" s="60"/>
      <c r="G72" s="60"/>
      <c r="H72" s="146"/>
      <c r="I72" s="146" t="s">
        <v>382</v>
      </c>
      <c r="J72" s="146" t="s">
        <v>382</v>
      </c>
      <c r="K72" s="146" t="s">
        <v>382</v>
      </c>
      <c r="L72" s="10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255"/>
      <c r="X72" s="234">
        <f t="shared" si="6"/>
        <v>0</v>
      </c>
    </row>
    <row r="73" spans="1:24" outlineLevel="1" x14ac:dyDescent="0.25">
      <c r="A73" s="61" t="s">
        <v>419</v>
      </c>
      <c r="B73" s="115" t="s">
        <v>422</v>
      </c>
      <c r="C73" s="115"/>
      <c r="D73" s="60"/>
      <c r="E73" s="60"/>
      <c r="F73" s="60"/>
      <c r="G73" s="60"/>
      <c r="H73" s="146"/>
      <c r="I73" s="146" t="s">
        <v>382</v>
      </c>
      <c r="J73" s="146" t="s">
        <v>382</v>
      </c>
      <c r="K73" s="146" t="s">
        <v>382</v>
      </c>
      <c r="L73" s="10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255"/>
      <c r="X73" s="234">
        <f t="shared" si="6"/>
        <v>0</v>
      </c>
    </row>
    <row r="74" spans="1:24" ht="15.75" outlineLevel="1" thickBot="1" x14ac:dyDescent="0.3">
      <c r="A74" s="145" t="s">
        <v>419</v>
      </c>
      <c r="B74" s="124" t="s">
        <v>423</v>
      </c>
      <c r="C74" s="124"/>
      <c r="D74" s="37"/>
      <c r="E74" s="37"/>
      <c r="F74" s="37"/>
      <c r="G74" s="37"/>
      <c r="H74" s="144"/>
      <c r="I74" s="144" t="s">
        <v>382</v>
      </c>
      <c r="J74" s="144" t="s">
        <v>382</v>
      </c>
      <c r="K74" s="144" t="s">
        <v>382</v>
      </c>
      <c r="L74" s="25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257"/>
      <c r="X74" s="235">
        <f t="shared" si="6"/>
        <v>0</v>
      </c>
    </row>
    <row r="75" spans="1:24" outlineLevel="1" x14ac:dyDescent="0.25">
      <c r="A75" s="62" t="s">
        <v>424</v>
      </c>
      <c r="B75" s="119" t="s">
        <v>425</v>
      </c>
      <c r="C75" s="119"/>
      <c r="D75" s="33"/>
      <c r="E75" s="33"/>
      <c r="F75" s="33"/>
      <c r="G75" s="33"/>
      <c r="H75" s="148"/>
      <c r="I75" s="148" t="s">
        <v>382</v>
      </c>
      <c r="J75" s="148" t="s">
        <v>382</v>
      </c>
      <c r="K75" s="148" t="s">
        <v>382</v>
      </c>
      <c r="L75" s="263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264"/>
      <c r="X75" s="236">
        <f t="shared" si="6"/>
        <v>0</v>
      </c>
    </row>
    <row r="76" spans="1:24" outlineLevel="1" x14ac:dyDescent="0.25">
      <c r="A76" s="61" t="s">
        <v>424</v>
      </c>
      <c r="B76" s="122" t="s">
        <v>426</v>
      </c>
      <c r="C76" s="122"/>
      <c r="D76" s="60"/>
      <c r="E76" s="60"/>
      <c r="F76" s="60"/>
      <c r="G76" s="60"/>
      <c r="H76" s="146"/>
      <c r="I76" s="146" t="s">
        <v>382</v>
      </c>
      <c r="J76" s="146" t="s">
        <v>382</v>
      </c>
      <c r="K76" s="146" t="s">
        <v>382</v>
      </c>
      <c r="L76" s="10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255"/>
      <c r="X76" s="234">
        <f t="shared" si="6"/>
        <v>0</v>
      </c>
    </row>
    <row r="77" spans="1:24" outlineLevel="1" x14ac:dyDescent="0.25">
      <c r="A77" s="61" t="s">
        <v>424</v>
      </c>
      <c r="B77" s="122" t="s">
        <v>427</v>
      </c>
      <c r="C77" s="122"/>
      <c r="D77" s="60"/>
      <c r="E77" s="60"/>
      <c r="F77" s="60"/>
      <c r="G77" s="60"/>
      <c r="H77" s="146"/>
      <c r="I77" s="146" t="s">
        <v>382</v>
      </c>
      <c r="J77" s="146" t="s">
        <v>382</v>
      </c>
      <c r="K77" s="146" t="s">
        <v>382</v>
      </c>
      <c r="L77" s="10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255"/>
      <c r="X77" s="234">
        <f t="shared" si="6"/>
        <v>0</v>
      </c>
    </row>
    <row r="78" spans="1:24" outlineLevel="1" x14ac:dyDescent="0.25">
      <c r="A78" s="61" t="s">
        <v>424</v>
      </c>
      <c r="B78" s="122" t="s">
        <v>428</v>
      </c>
      <c r="C78" s="122"/>
      <c r="D78" s="60"/>
      <c r="E78" s="60"/>
      <c r="F78" s="60"/>
      <c r="G78" s="60"/>
      <c r="H78" s="146"/>
      <c r="I78" s="146" t="s">
        <v>382</v>
      </c>
      <c r="J78" s="146" t="s">
        <v>382</v>
      </c>
      <c r="K78" s="146" t="s">
        <v>382</v>
      </c>
      <c r="L78" s="10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255"/>
      <c r="X78" s="234">
        <f t="shared" si="6"/>
        <v>0</v>
      </c>
    </row>
    <row r="79" spans="1:24" ht="15.75" outlineLevel="1" thickBot="1" x14ac:dyDescent="0.3">
      <c r="A79" s="145" t="s">
        <v>424</v>
      </c>
      <c r="B79" s="124" t="s">
        <v>429</v>
      </c>
      <c r="C79" s="124"/>
      <c r="D79" s="37"/>
      <c r="E79" s="37"/>
      <c r="F79" s="37"/>
      <c r="G79" s="37"/>
      <c r="H79" s="144"/>
      <c r="I79" s="144" t="s">
        <v>382</v>
      </c>
      <c r="J79" s="144" t="s">
        <v>382</v>
      </c>
      <c r="K79" s="144" t="s">
        <v>382</v>
      </c>
      <c r="L79" s="25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257"/>
      <c r="X79" s="235">
        <f t="shared" si="6"/>
        <v>0</v>
      </c>
    </row>
    <row r="80" spans="1:24" ht="15.75" thickBot="1" x14ac:dyDescent="0.3">
      <c r="A80" s="760" t="s">
        <v>430</v>
      </c>
      <c r="B80" s="761"/>
      <c r="C80" s="761"/>
      <c r="D80" s="149">
        <v>0</v>
      </c>
      <c r="E80" s="149">
        <v>0</v>
      </c>
      <c r="F80" s="149">
        <v>0</v>
      </c>
      <c r="G80" s="149">
        <v>0</v>
      </c>
      <c r="H80" s="149">
        <v>0</v>
      </c>
      <c r="I80" s="149">
        <v>0</v>
      </c>
      <c r="J80" s="149">
        <v>0</v>
      </c>
      <c r="K80" s="149">
        <v>0</v>
      </c>
      <c r="L80" s="277">
        <f t="shared" ref="L80:X80" si="7">SUM(L71:L79)</f>
        <v>0</v>
      </c>
      <c r="M80" s="150">
        <f t="shared" si="7"/>
        <v>0</v>
      </c>
      <c r="N80" s="150">
        <f t="shared" si="7"/>
        <v>0</v>
      </c>
      <c r="O80" s="150">
        <f t="shared" si="7"/>
        <v>0</v>
      </c>
      <c r="P80" s="150">
        <f t="shared" si="7"/>
        <v>0</v>
      </c>
      <c r="Q80" s="150">
        <f t="shared" si="7"/>
        <v>0</v>
      </c>
      <c r="R80" s="150">
        <f t="shared" si="7"/>
        <v>0</v>
      </c>
      <c r="S80" s="150">
        <f t="shared" si="7"/>
        <v>0</v>
      </c>
      <c r="T80" s="150">
        <f t="shared" si="7"/>
        <v>0</v>
      </c>
      <c r="U80" s="150">
        <f t="shared" si="7"/>
        <v>0</v>
      </c>
      <c r="V80" s="150">
        <f t="shared" si="7"/>
        <v>0</v>
      </c>
      <c r="W80" s="278">
        <f t="shared" si="7"/>
        <v>0</v>
      </c>
      <c r="X80" s="151">
        <f t="shared" si="7"/>
        <v>0</v>
      </c>
    </row>
    <row r="81" spans="1:24" outlineLevel="1" x14ac:dyDescent="0.25">
      <c r="A81" s="62" t="s">
        <v>431</v>
      </c>
      <c r="B81" s="119" t="s">
        <v>432</v>
      </c>
      <c r="C81" s="119"/>
      <c r="D81" s="33"/>
      <c r="E81" s="33"/>
      <c r="F81" s="33"/>
      <c r="G81" s="33"/>
      <c r="H81" s="148"/>
      <c r="I81" s="148" t="s">
        <v>382</v>
      </c>
      <c r="J81" s="148"/>
      <c r="K81" s="148"/>
      <c r="L81" s="263"/>
      <c r="M81" s="73"/>
      <c r="N81" s="32"/>
      <c r="O81" s="32"/>
      <c r="P81" s="32"/>
      <c r="Q81" s="32"/>
      <c r="R81" s="32"/>
      <c r="S81" s="68"/>
      <c r="T81" s="68"/>
      <c r="U81" s="68"/>
      <c r="V81" s="68"/>
      <c r="W81" s="264"/>
      <c r="X81" s="236">
        <f t="shared" ref="X81:X144" si="8">SUM(L81:W81)</f>
        <v>0</v>
      </c>
    </row>
    <row r="82" spans="1:24" outlineLevel="1" x14ac:dyDescent="0.25">
      <c r="A82" s="61" t="s">
        <v>431</v>
      </c>
      <c r="B82" s="122" t="s">
        <v>433</v>
      </c>
      <c r="C82" s="122"/>
      <c r="D82" s="60"/>
      <c r="E82" s="60"/>
      <c r="F82" s="60"/>
      <c r="G82" s="60"/>
      <c r="H82" s="146"/>
      <c r="I82" s="146" t="s">
        <v>382</v>
      </c>
      <c r="J82" s="146"/>
      <c r="K82" s="146"/>
      <c r="L82" s="111"/>
      <c r="M82" s="69"/>
      <c r="N82" s="59"/>
      <c r="O82" s="59"/>
      <c r="P82" s="95"/>
      <c r="Q82" s="59"/>
      <c r="R82" s="59"/>
      <c r="S82" s="66"/>
      <c r="T82" s="66"/>
      <c r="U82" s="66"/>
      <c r="V82" s="66"/>
      <c r="W82" s="265"/>
      <c r="X82" s="234">
        <f t="shared" si="8"/>
        <v>0</v>
      </c>
    </row>
    <row r="83" spans="1:24" outlineLevel="1" x14ac:dyDescent="0.25">
      <c r="A83" s="61" t="s">
        <v>431</v>
      </c>
      <c r="B83" s="122" t="s">
        <v>434</v>
      </c>
      <c r="C83" s="122"/>
      <c r="D83" s="60"/>
      <c r="E83" s="60"/>
      <c r="F83" s="60"/>
      <c r="G83" s="60"/>
      <c r="H83" s="146"/>
      <c r="I83" s="146" t="s">
        <v>382</v>
      </c>
      <c r="J83" s="146"/>
      <c r="K83" s="146"/>
      <c r="L83" s="111"/>
      <c r="M83" s="66"/>
      <c r="N83" s="59"/>
      <c r="O83" s="59"/>
      <c r="P83" s="59"/>
      <c r="Q83" s="59"/>
      <c r="R83" s="59"/>
      <c r="S83" s="66"/>
      <c r="T83" s="66"/>
      <c r="U83" s="66"/>
      <c r="V83" s="66"/>
      <c r="W83" s="265"/>
      <c r="X83" s="234">
        <f t="shared" si="8"/>
        <v>0</v>
      </c>
    </row>
    <row r="84" spans="1:24" outlineLevel="1" x14ac:dyDescent="0.25">
      <c r="A84" s="61" t="s">
        <v>431</v>
      </c>
      <c r="B84" s="122" t="s">
        <v>435</v>
      </c>
      <c r="C84" s="122"/>
      <c r="D84" s="60"/>
      <c r="E84" s="60"/>
      <c r="F84" s="60"/>
      <c r="G84" s="60"/>
      <c r="H84" s="146"/>
      <c r="I84" s="146" t="s">
        <v>382</v>
      </c>
      <c r="J84" s="146"/>
      <c r="K84" s="146"/>
      <c r="L84" s="111"/>
      <c r="M84" s="66"/>
      <c r="N84" s="59"/>
      <c r="O84" s="59"/>
      <c r="P84" s="59"/>
      <c r="Q84" s="59"/>
      <c r="R84" s="59"/>
      <c r="S84" s="66"/>
      <c r="T84" s="66"/>
      <c r="U84" s="66"/>
      <c r="V84" s="66"/>
      <c r="W84" s="265"/>
      <c r="X84" s="234">
        <f t="shared" si="8"/>
        <v>0</v>
      </c>
    </row>
    <row r="85" spans="1:24" outlineLevel="1" x14ac:dyDescent="0.25">
      <c r="A85" s="61" t="s">
        <v>431</v>
      </c>
      <c r="B85" s="122" t="s">
        <v>420</v>
      </c>
      <c r="C85" s="122"/>
      <c r="D85" s="60"/>
      <c r="E85" s="60"/>
      <c r="F85" s="60"/>
      <c r="G85" s="60"/>
      <c r="H85" s="146"/>
      <c r="I85" s="146" t="s">
        <v>382</v>
      </c>
      <c r="J85" s="146"/>
      <c r="K85" s="146"/>
      <c r="L85" s="111"/>
      <c r="M85" s="66"/>
      <c r="N85" s="59"/>
      <c r="O85" s="59"/>
      <c r="P85" s="59"/>
      <c r="Q85" s="59"/>
      <c r="R85" s="59"/>
      <c r="S85" s="66"/>
      <c r="T85" s="66"/>
      <c r="U85" s="66"/>
      <c r="V85" s="66"/>
      <c r="W85" s="265"/>
      <c r="X85" s="234">
        <f t="shared" si="8"/>
        <v>0</v>
      </c>
    </row>
    <row r="86" spans="1:24" outlineLevel="1" x14ac:dyDescent="0.25">
      <c r="A86" s="61" t="s">
        <v>431</v>
      </c>
      <c r="B86" s="122" t="s">
        <v>436</v>
      </c>
      <c r="C86" s="122"/>
      <c r="D86" s="60"/>
      <c r="E86" s="60"/>
      <c r="F86" s="60"/>
      <c r="G86" s="60"/>
      <c r="H86" s="146"/>
      <c r="I86" s="146" t="s">
        <v>382</v>
      </c>
      <c r="J86" s="146"/>
      <c r="K86" s="146"/>
      <c r="L86" s="111"/>
      <c r="M86" s="66"/>
      <c r="N86" s="59"/>
      <c r="O86" s="59"/>
      <c r="P86" s="59"/>
      <c r="Q86" s="59"/>
      <c r="R86" s="59"/>
      <c r="S86" s="66"/>
      <c r="T86" s="66"/>
      <c r="U86" s="66"/>
      <c r="V86" s="66"/>
      <c r="W86" s="265"/>
      <c r="X86" s="234">
        <f t="shared" si="8"/>
        <v>0</v>
      </c>
    </row>
    <row r="87" spans="1:24" ht="15.75" outlineLevel="1" thickBot="1" x14ac:dyDescent="0.3">
      <c r="A87" s="145" t="s">
        <v>431</v>
      </c>
      <c r="B87" s="124" t="s">
        <v>437</v>
      </c>
      <c r="C87" s="124"/>
      <c r="D87" s="37"/>
      <c r="E87" s="37"/>
      <c r="F87" s="37"/>
      <c r="G87" s="37"/>
      <c r="H87" s="144"/>
      <c r="I87" s="144" t="s">
        <v>382</v>
      </c>
      <c r="J87" s="144"/>
      <c r="K87" s="144"/>
      <c r="L87" s="271"/>
      <c r="M87" s="65"/>
      <c r="N87" s="36"/>
      <c r="O87" s="36"/>
      <c r="P87" s="36"/>
      <c r="Q87" s="36"/>
      <c r="R87" s="36"/>
      <c r="S87" s="65"/>
      <c r="T87" s="65"/>
      <c r="U87" s="65"/>
      <c r="V87" s="65"/>
      <c r="W87" s="272"/>
      <c r="X87" s="235">
        <f t="shared" si="8"/>
        <v>0</v>
      </c>
    </row>
    <row r="88" spans="1:24" outlineLevel="1" x14ac:dyDescent="0.25">
      <c r="A88" s="62" t="s">
        <v>130</v>
      </c>
      <c r="B88" s="119" t="s">
        <v>438</v>
      </c>
      <c r="C88" s="119"/>
      <c r="D88" s="33"/>
      <c r="E88" s="33"/>
      <c r="F88" s="33"/>
      <c r="G88" s="33"/>
      <c r="H88" s="148"/>
      <c r="I88" s="148" t="s">
        <v>382</v>
      </c>
      <c r="J88" s="148"/>
      <c r="K88" s="148"/>
      <c r="L88" s="263"/>
      <c r="M88" s="73"/>
      <c r="N88" s="32"/>
      <c r="O88" s="32"/>
      <c r="P88" s="32"/>
      <c r="Q88" s="32"/>
      <c r="R88" s="32"/>
      <c r="S88" s="68"/>
      <c r="T88" s="68"/>
      <c r="U88" s="68"/>
      <c r="V88" s="68"/>
      <c r="W88" s="264"/>
      <c r="X88" s="236">
        <f t="shared" si="8"/>
        <v>0</v>
      </c>
    </row>
    <row r="89" spans="1:24" outlineLevel="1" x14ac:dyDescent="0.25">
      <c r="A89" s="61" t="s">
        <v>130</v>
      </c>
      <c r="B89" s="122" t="s">
        <v>175</v>
      </c>
      <c r="C89" s="122"/>
      <c r="D89" s="53"/>
      <c r="E89" s="53"/>
      <c r="F89" s="53"/>
      <c r="G89" s="53"/>
      <c r="H89" s="154"/>
      <c r="I89" s="154" t="s">
        <v>382</v>
      </c>
      <c r="J89" s="154"/>
      <c r="K89" s="154"/>
      <c r="L89" s="279"/>
      <c r="M89" s="71"/>
      <c r="N89" s="52"/>
      <c r="O89" s="52"/>
      <c r="P89" s="52"/>
      <c r="Q89" s="52"/>
      <c r="R89" s="52"/>
      <c r="S89" s="70"/>
      <c r="T89" s="70"/>
      <c r="U89" s="70"/>
      <c r="V89" s="70"/>
      <c r="W89" s="280"/>
      <c r="X89" s="238">
        <f t="shared" si="8"/>
        <v>0</v>
      </c>
    </row>
    <row r="90" spans="1:24" outlineLevel="1" x14ac:dyDescent="0.25">
      <c r="A90" s="61" t="s">
        <v>130</v>
      </c>
      <c r="B90" s="122" t="s">
        <v>176</v>
      </c>
      <c r="C90" s="122"/>
      <c r="D90" s="53"/>
      <c r="E90" s="53"/>
      <c r="F90" s="53"/>
      <c r="G90" s="53"/>
      <c r="H90" s="154"/>
      <c r="I90" s="154" t="s">
        <v>382</v>
      </c>
      <c r="J90" s="154"/>
      <c r="K90" s="154"/>
      <c r="L90" s="279"/>
      <c r="M90" s="71"/>
      <c r="N90" s="52"/>
      <c r="O90" s="52"/>
      <c r="P90" s="52"/>
      <c r="Q90" s="52"/>
      <c r="R90" s="52"/>
      <c r="S90" s="70"/>
      <c r="T90" s="70"/>
      <c r="U90" s="70"/>
      <c r="V90" s="70"/>
      <c r="W90" s="280"/>
      <c r="X90" s="238">
        <f t="shared" si="8"/>
        <v>0</v>
      </c>
    </row>
    <row r="91" spans="1:24" outlineLevel="1" x14ac:dyDescent="0.25">
      <c r="A91" s="61" t="s">
        <v>130</v>
      </c>
      <c r="B91" s="122" t="s">
        <v>439</v>
      </c>
      <c r="C91" s="122"/>
      <c r="D91" s="60"/>
      <c r="E91" s="60"/>
      <c r="F91" s="60"/>
      <c r="G91" s="60"/>
      <c r="H91" s="146"/>
      <c r="I91" s="146" t="s">
        <v>382</v>
      </c>
      <c r="J91" s="146"/>
      <c r="K91" s="146"/>
      <c r="L91" s="111"/>
      <c r="M91" s="69"/>
      <c r="N91" s="59"/>
      <c r="O91" s="59"/>
      <c r="P91" s="59"/>
      <c r="Q91" s="59"/>
      <c r="R91" s="59"/>
      <c r="S91" s="66"/>
      <c r="T91" s="66"/>
      <c r="U91" s="66"/>
      <c r="V91" s="66"/>
      <c r="W91" s="265"/>
      <c r="X91" s="234">
        <f t="shared" si="8"/>
        <v>0</v>
      </c>
    </row>
    <row r="92" spans="1:24" outlineLevel="1" x14ac:dyDescent="0.25">
      <c r="A92" s="61" t="s">
        <v>130</v>
      </c>
      <c r="B92" s="122" t="s">
        <v>420</v>
      </c>
      <c r="C92" s="122"/>
      <c r="D92" s="60"/>
      <c r="E92" s="60"/>
      <c r="F92" s="60"/>
      <c r="G92" s="60"/>
      <c r="H92" s="146"/>
      <c r="I92" s="146" t="s">
        <v>382</v>
      </c>
      <c r="J92" s="146"/>
      <c r="K92" s="146"/>
      <c r="L92" s="111"/>
      <c r="M92" s="69"/>
      <c r="N92" s="59"/>
      <c r="O92" s="59"/>
      <c r="P92" s="59"/>
      <c r="Q92" s="59"/>
      <c r="R92" s="59"/>
      <c r="S92" s="66"/>
      <c r="T92" s="66"/>
      <c r="U92" s="66"/>
      <c r="V92" s="66"/>
      <c r="W92" s="265"/>
      <c r="X92" s="234">
        <f t="shared" si="8"/>
        <v>0</v>
      </c>
    </row>
    <row r="93" spans="1:24" ht="15.75" outlineLevel="1" thickBot="1" x14ac:dyDescent="0.3">
      <c r="A93" s="61" t="s">
        <v>130</v>
      </c>
      <c r="B93" s="122" t="s">
        <v>440</v>
      </c>
      <c r="C93" s="122"/>
      <c r="D93" s="60"/>
      <c r="E93" s="60"/>
      <c r="F93" s="60"/>
      <c r="G93" s="60"/>
      <c r="H93" s="146"/>
      <c r="I93" s="146" t="s">
        <v>382</v>
      </c>
      <c r="J93" s="146"/>
      <c r="K93" s="146">
        <v>1</v>
      </c>
      <c r="L93" s="270"/>
      <c r="M93" s="205"/>
      <c r="N93" s="205"/>
      <c r="O93" s="59"/>
      <c r="P93" s="59"/>
      <c r="Q93" s="59"/>
      <c r="R93" s="59"/>
      <c r="S93" s="66"/>
      <c r="T93" s="66"/>
      <c r="U93" s="66"/>
      <c r="V93" s="66"/>
      <c r="W93" s="265"/>
      <c r="X93" s="234">
        <f t="shared" si="8"/>
        <v>0</v>
      </c>
    </row>
    <row r="94" spans="1:24" outlineLevel="1" x14ac:dyDescent="0.25">
      <c r="A94" s="62" t="s">
        <v>441</v>
      </c>
      <c r="B94" s="119" t="s">
        <v>442</v>
      </c>
      <c r="C94" s="119"/>
      <c r="D94" s="33"/>
      <c r="E94" s="33"/>
      <c r="F94" s="33"/>
      <c r="G94" s="33"/>
      <c r="H94" s="148"/>
      <c r="I94" s="148" t="s">
        <v>382</v>
      </c>
      <c r="J94" s="148"/>
      <c r="K94" s="148"/>
      <c r="L94" s="258"/>
      <c r="M94" s="73"/>
      <c r="N94" s="32"/>
      <c r="O94" s="32"/>
      <c r="P94" s="32"/>
      <c r="Q94" s="32"/>
      <c r="R94" s="32"/>
      <c r="S94" s="32"/>
      <c r="T94" s="32"/>
      <c r="U94" s="32"/>
      <c r="V94" s="32"/>
      <c r="W94" s="259"/>
      <c r="X94" s="236">
        <f t="shared" si="8"/>
        <v>0</v>
      </c>
    </row>
    <row r="95" spans="1:24" ht="15.75" outlineLevel="1" thickBot="1" x14ac:dyDescent="0.3">
      <c r="A95" s="145" t="s">
        <v>441</v>
      </c>
      <c r="B95" s="124" t="s">
        <v>175</v>
      </c>
      <c r="C95" s="124"/>
      <c r="D95" s="37"/>
      <c r="E95" s="37"/>
      <c r="F95" s="37"/>
      <c r="G95" s="37"/>
      <c r="H95" s="144"/>
      <c r="I95" s="144" t="s">
        <v>382</v>
      </c>
      <c r="J95" s="144"/>
      <c r="K95" s="144"/>
      <c r="L95" s="25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257"/>
      <c r="X95" s="235">
        <f t="shared" si="8"/>
        <v>0</v>
      </c>
    </row>
    <row r="96" spans="1:24" outlineLevel="1" x14ac:dyDescent="0.25">
      <c r="A96" s="62" t="s">
        <v>443</v>
      </c>
      <c r="B96" s="119" t="s">
        <v>444</v>
      </c>
      <c r="C96" s="119"/>
      <c r="D96" s="33"/>
      <c r="E96" s="33"/>
      <c r="F96" s="33"/>
      <c r="G96" s="33"/>
      <c r="H96" s="148"/>
      <c r="I96" s="148" t="s">
        <v>382</v>
      </c>
      <c r="J96" s="148"/>
      <c r="K96" s="148"/>
      <c r="L96" s="281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259"/>
      <c r="X96" s="236">
        <f t="shared" si="8"/>
        <v>0</v>
      </c>
    </row>
    <row r="97" spans="1:24" outlineLevel="1" x14ac:dyDescent="0.25">
      <c r="A97" s="54" t="s">
        <v>443</v>
      </c>
      <c r="B97" s="122" t="s">
        <v>445</v>
      </c>
      <c r="C97" s="122"/>
      <c r="D97" s="60"/>
      <c r="E97" s="60"/>
      <c r="F97" s="60"/>
      <c r="G97" s="60"/>
      <c r="H97" s="146"/>
      <c r="I97" s="146" t="s">
        <v>382</v>
      </c>
      <c r="J97" s="146"/>
      <c r="K97" s="146"/>
      <c r="L97" s="10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255"/>
      <c r="X97" s="234">
        <f t="shared" si="8"/>
        <v>0</v>
      </c>
    </row>
    <row r="98" spans="1:24" ht="15.75" outlineLevel="1" thickBot="1" x14ac:dyDescent="0.3">
      <c r="A98" s="57" t="s">
        <v>443</v>
      </c>
      <c r="B98" s="124" t="s">
        <v>446</v>
      </c>
      <c r="C98" s="124"/>
      <c r="D98" s="37"/>
      <c r="E98" s="37"/>
      <c r="F98" s="37"/>
      <c r="G98" s="37"/>
      <c r="H98" s="144"/>
      <c r="I98" s="144" t="s">
        <v>382</v>
      </c>
      <c r="J98" s="144"/>
      <c r="K98" s="144"/>
      <c r="L98" s="25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257"/>
      <c r="X98" s="235">
        <f t="shared" si="8"/>
        <v>0</v>
      </c>
    </row>
    <row r="99" spans="1:24" outlineLevel="1" x14ac:dyDescent="0.25">
      <c r="A99" s="62" t="s">
        <v>447</v>
      </c>
      <c r="B99" s="119" t="s">
        <v>448</v>
      </c>
      <c r="C99" s="119"/>
      <c r="D99" s="33"/>
      <c r="E99" s="33"/>
      <c r="F99" s="33"/>
      <c r="G99" s="33"/>
      <c r="H99" s="148"/>
      <c r="I99" s="148" t="s">
        <v>382</v>
      </c>
      <c r="J99" s="148"/>
      <c r="K99" s="148"/>
      <c r="L99" s="263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264"/>
      <c r="X99" s="236">
        <f t="shared" si="8"/>
        <v>0</v>
      </c>
    </row>
    <row r="100" spans="1:24" outlineLevel="1" x14ac:dyDescent="0.25">
      <c r="A100" s="61" t="s">
        <v>447</v>
      </c>
      <c r="B100" s="122" t="s">
        <v>449</v>
      </c>
      <c r="C100" s="122"/>
      <c r="D100" s="60"/>
      <c r="E100" s="60"/>
      <c r="F100" s="60"/>
      <c r="G100" s="60"/>
      <c r="H100" s="146"/>
      <c r="I100" s="146" t="s">
        <v>382</v>
      </c>
      <c r="J100" s="146"/>
      <c r="K100" s="146"/>
      <c r="L100" s="260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261"/>
      <c r="X100" s="234">
        <f t="shared" si="8"/>
        <v>0</v>
      </c>
    </row>
    <row r="101" spans="1:24" ht="15.75" outlineLevel="1" thickBot="1" x14ac:dyDescent="0.3">
      <c r="A101" s="145" t="s">
        <v>447</v>
      </c>
      <c r="B101" s="124" t="s">
        <v>420</v>
      </c>
      <c r="C101" s="124"/>
      <c r="D101" s="37"/>
      <c r="E101" s="37"/>
      <c r="F101" s="37"/>
      <c r="G101" s="37"/>
      <c r="H101" s="144"/>
      <c r="I101" s="144" t="s">
        <v>382</v>
      </c>
      <c r="J101" s="144"/>
      <c r="K101" s="144"/>
      <c r="L101" s="256"/>
      <c r="M101" s="108"/>
      <c r="N101" s="36"/>
      <c r="O101" s="36"/>
      <c r="P101" s="36"/>
      <c r="Q101" s="36"/>
      <c r="R101" s="36"/>
      <c r="S101" s="36"/>
      <c r="T101" s="36"/>
      <c r="U101" s="36"/>
      <c r="V101" s="36"/>
      <c r="W101" s="257"/>
      <c r="X101" s="235">
        <f t="shared" si="8"/>
        <v>0</v>
      </c>
    </row>
    <row r="102" spans="1:24" outlineLevel="1" x14ac:dyDescent="0.25">
      <c r="A102" s="62" t="s">
        <v>450</v>
      </c>
      <c r="B102" s="119" t="s">
        <v>451</v>
      </c>
      <c r="C102" s="119"/>
      <c r="D102" s="33"/>
      <c r="E102" s="33"/>
      <c r="F102" s="33"/>
      <c r="G102" s="33"/>
      <c r="H102" s="148"/>
      <c r="I102" s="148" t="s">
        <v>382</v>
      </c>
      <c r="J102" s="148"/>
      <c r="K102" s="148"/>
      <c r="L102" s="258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259"/>
      <c r="X102" s="236">
        <f t="shared" si="8"/>
        <v>0</v>
      </c>
    </row>
    <row r="103" spans="1:24" outlineLevel="1" x14ac:dyDescent="0.25">
      <c r="A103" s="61" t="s">
        <v>450</v>
      </c>
      <c r="B103" s="122" t="s">
        <v>452</v>
      </c>
      <c r="C103" s="122"/>
      <c r="D103" s="60"/>
      <c r="E103" s="60"/>
      <c r="F103" s="60"/>
      <c r="G103" s="60"/>
      <c r="H103" s="146"/>
      <c r="I103" s="146" t="s">
        <v>382</v>
      </c>
      <c r="J103" s="146"/>
      <c r="K103" s="146"/>
      <c r="L103" s="10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255"/>
      <c r="X103" s="234">
        <f t="shared" si="8"/>
        <v>0</v>
      </c>
    </row>
    <row r="104" spans="1:24" ht="15.75" outlineLevel="1" thickBot="1" x14ac:dyDescent="0.3">
      <c r="A104" s="145" t="s">
        <v>450</v>
      </c>
      <c r="B104" s="124" t="s">
        <v>453</v>
      </c>
      <c r="C104" s="124"/>
      <c r="D104" s="37"/>
      <c r="E104" s="37"/>
      <c r="F104" s="37"/>
      <c r="G104" s="37"/>
      <c r="H104" s="144"/>
      <c r="I104" s="144" t="s">
        <v>382</v>
      </c>
      <c r="J104" s="144"/>
      <c r="K104" s="144"/>
      <c r="L104" s="25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257"/>
      <c r="X104" s="235">
        <f t="shared" si="8"/>
        <v>0</v>
      </c>
    </row>
    <row r="105" spans="1:24" outlineLevel="1" x14ac:dyDescent="0.25">
      <c r="A105" s="62" t="s">
        <v>171</v>
      </c>
      <c r="B105" s="119" t="s">
        <v>172</v>
      </c>
      <c r="C105" s="119"/>
      <c r="D105" s="33"/>
      <c r="E105" s="33"/>
      <c r="F105" s="33">
        <v>4</v>
      </c>
      <c r="G105" s="33">
        <v>6</v>
      </c>
      <c r="H105" s="148">
        <v>8</v>
      </c>
      <c r="I105" s="148">
        <v>1</v>
      </c>
      <c r="J105" s="148">
        <v>4</v>
      </c>
      <c r="K105" s="148"/>
      <c r="L105" s="258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259"/>
      <c r="X105" s="236">
        <f t="shared" si="8"/>
        <v>0</v>
      </c>
    </row>
    <row r="106" spans="1:24" outlineLevel="1" x14ac:dyDescent="0.25">
      <c r="A106" s="54" t="s">
        <v>171</v>
      </c>
      <c r="B106" s="123" t="s">
        <v>454</v>
      </c>
      <c r="C106" s="123"/>
      <c r="D106" s="53"/>
      <c r="E106" s="53"/>
      <c r="F106" s="53"/>
      <c r="G106" s="53"/>
      <c r="H106" s="154"/>
      <c r="I106" s="154" t="s">
        <v>382</v>
      </c>
      <c r="J106" s="154"/>
      <c r="K106" s="154"/>
      <c r="L106" s="28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254"/>
      <c r="X106" s="238">
        <f t="shared" si="8"/>
        <v>0</v>
      </c>
    </row>
    <row r="107" spans="1:24" outlineLevel="1" x14ac:dyDescent="0.25">
      <c r="A107" s="54" t="s">
        <v>171</v>
      </c>
      <c r="B107" s="122" t="s">
        <v>455</v>
      </c>
      <c r="C107" s="122"/>
      <c r="D107" s="60"/>
      <c r="E107" s="60"/>
      <c r="F107" s="60"/>
      <c r="G107" s="60"/>
      <c r="H107" s="146"/>
      <c r="I107" s="146" t="s">
        <v>382</v>
      </c>
      <c r="J107" s="146"/>
      <c r="K107" s="146"/>
      <c r="L107" s="10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255"/>
      <c r="X107" s="234">
        <f t="shared" si="8"/>
        <v>0</v>
      </c>
    </row>
    <row r="108" spans="1:24" outlineLevel="1" x14ac:dyDescent="0.25">
      <c r="A108" s="54" t="s">
        <v>171</v>
      </c>
      <c r="B108" s="122" t="s">
        <v>420</v>
      </c>
      <c r="C108" s="122"/>
      <c r="D108" s="60"/>
      <c r="E108" s="60"/>
      <c r="F108" s="60"/>
      <c r="G108" s="60">
        <v>1</v>
      </c>
      <c r="H108" s="146"/>
      <c r="I108" s="146" t="s">
        <v>382</v>
      </c>
      <c r="J108" s="146"/>
      <c r="K108" s="146"/>
      <c r="L108" s="111"/>
      <c r="M108" s="66"/>
      <c r="N108" s="59"/>
      <c r="O108" s="59"/>
      <c r="P108" s="59"/>
      <c r="Q108" s="59"/>
      <c r="R108" s="59"/>
      <c r="S108" s="66"/>
      <c r="T108" s="66"/>
      <c r="U108" s="66"/>
      <c r="V108" s="66"/>
      <c r="W108" s="265"/>
      <c r="X108" s="234">
        <f t="shared" si="8"/>
        <v>0</v>
      </c>
    </row>
    <row r="109" spans="1:24" outlineLevel="1" x14ac:dyDescent="0.25">
      <c r="A109" s="54" t="s">
        <v>171</v>
      </c>
      <c r="B109" s="122" t="s">
        <v>174</v>
      </c>
      <c r="C109" s="122"/>
      <c r="D109" s="60"/>
      <c r="E109" s="60"/>
      <c r="F109" s="60"/>
      <c r="G109" s="60"/>
      <c r="H109" s="146"/>
      <c r="I109" s="146" t="s">
        <v>382</v>
      </c>
      <c r="J109" s="146"/>
      <c r="K109" s="146"/>
      <c r="L109" s="10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255"/>
      <c r="X109" s="234">
        <f t="shared" si="8"/>
        <v>0</v>
      </c>
    </row>
    <row r="110" spans="1:24" outlineLevel="1" x14ac:dyDescent="0.25">
      <c r="A110" s="54" t="s">
        <v>171</v>
      </c>
      <c r="B110" s="122" t="s">
        <v>456</v>
      </c>
      <c r="C110" s="122"/>
      <c r="D110" s="60"/>
      <c r="E110" s="60"/>
      <c r="F110" s="60"/>
      <c r="G110" s="60"/>
      <c r="H110" s="146"/>
      <c r="I110" s="146" t="s">
        <v>382</v>
      </c>
      <c r="J110" s="146"/>
      <c r="K110" s="146"/>
      <c r="L110" s="10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255"/>
      <c r="X110" s="234">
        <f t="shared" si="8"/>
        <v>0</v>
      </c>
    </row>
    <row r="111" spans="1:24" outlineLevel="1" x14ac:dyDescent="0.25">
      <c r="A111" s="54" t="s">
        <v>171</v>
      </c>
      <c r="B111" s="122" t="s">
        <v>457</v>
      </c>
      <c r="C111" s="122"/>
      <c r="D111" s="60"/>
      <c r="E111" s="60"/>
      <c r="F111" s="60"/>
      <c r="G111" s="60"/>
      <c r="H111" s="146"/>
      <c r="I111" s="146" t="s">
        <v>382</v>
      </c>
      <c r="J111" s="146"/>
      <c r="K111" s="146"/>
      <c r="L111" s="10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255"/>
      <c r="X111" s="234">
        <f t="shared" si="8"/>
        <v>0</v>
      </c>
    </row>
    <row r="112" spans="1:24" outlineLevel="1" x14ac:dyDescent="0.25">
      <c r="A112" s="54" t="s">
        <v>171</v>
      </c>
      <c r="B112" s="122" t="s">
        <v>458</v>
      </c>
      <c r="C112" s="122"/>
      <c r="D112" s="60"/>
      <c r="E112" s="60"/>
      <c r="F112" s="60"/>
      <c r="G112" s="60"/>
      <c r="H112" s="146"/>
      <c r="I112" s="146" t="s">
        <v>382</v>
      </c>
      <c r="J112" s="146"/>
      <c r="K112" s="146"/>
      <c r="L112" s="10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255"/>
      <c r="X112" s="234">
        <f t="shared" si="8"/>
        <v>0</v>
      </c>
    </row>
    <row r="113" spans="1:24" outlineLevel="1" x14ac:dyDescent="0.25">
      <c r="A113" s="54" t="s">
        <v>171</v>
      </c>
      <c r="B113" s="122" t="s">
        <v>459</v>
      </c>
      <c r="C113" s="122"/>
      <c r="D113" s="60"/>
      <c r="E113" s="60"/>
      <c r="F113" s="60"/>
      <c r="G113" s="60"/>
      <c r="H113" s="146"/>
      <c r="I113" s="146" t="s">
        <v>382</v>
      </c>
      <c r="J113" s="146"/>
      <c r="K113" s="146"/>
      <c r="L113" s="111"/>
      <c r="M113" s="66"/>
      <c r="N113" s="59"/>
      <c r="O113" s="59"/>
      <c r="P113" s="59"/>
      <c r="Q113" s="59"/>
      <c r="R113" s="59"/>
      <c r="S113" s="66"/>
      <c r="T113" s="66"/>
      <c r="U113" s="66"/>
      <c r="V113" s="66"/>
      <c r="W113" s="265"/>
      <c r="X113" s="234">
        <f t="shared" si="8"/>
        <v>0</v>
      </c>
    </row>
    <row r="114" spans="1:24" outlineLevel="1" x14ac:dyDescent="0.25">
      <c r="A114" s="54" t="s">
        <v>171</v>
      </c>
      <c r="B114" s="122" t="s">
        <v>460</v>
      </c>
      <c r="C114" s="122"/>
      <c r="D114" s="60"/>
      <c r="E114" s="60"/>
      <c r="F114" s="60"/>
      <c r="G114" s="60"/>
      <c r="H114" s="146"/>
      <c r="I114" s="146" t="s">
        <v>382</v>
      </c>
      <c r="J114" s="146"/>
      <c r="K114" s="146"/>
      <c r="L114" s="260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261"/>
      <c r="X114" s="234">
        <f t="shared" si="8"/>
        <v>0</v>
      </c>
    </row>
    <row r="115" spans="1:24" ht="15.75" outlineLevel="1" thickBot="1" x14ac:dyDescent="0.3">
      <c r="A115" s="57" t="s">
        <v>171</v>
      </c>
      <c r="B115" s="124" t="s">
        <v>461</v>
      </c>
      <c r="C115" s="124"/>
      <c r="D115" s="37"/>
      <c r="E115" s="37"/>
      <c r="F115" s="37"/>
      <c r="G115" s="37"/>
      <c r="H115" s="144"/>
      <c r="I115" s="144" t="s">
        <v>382</v>
      </c>
      <c r="J115" s="144"/>
      <c r="K115" s="144"/>
      <c r="L115" s="25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257"/>
      <c r="X115" s="235">
        <f t="shared" si="8"/>
        <v>0</v>
      </c>
    </row>
    <row r="116" spans="1:24" outlineLevel="1" x14ac:dyDescent="0.25">
      <c r="A116" s="54" t="s">
        <v>177</v>
      </c>
      <c r="B116" s="123" t="s">
        <v>462</v>
      </c>
      <c r="C116" s="123"/>
      <c r="D116" s="53"/>
      <c r="E116" s="53"/>
      <c r="F116" s="53"/>
      <c r="G116" s="53"/>
      <c r="H116" s="154">
        <v>1</v>
      </c>
      <c r="I116" s="154" t="s">
        <v>382</v>
      </c>
      <c r="J116" s="154"/>
      <c r="K116" s="154"/>
      <c r="L116" s="283"/>
      <c r="M116" s="157"/>
      <c r="N116" s="157"/>
      <c r="O116" s="157"/>
      <c r="P116" s="157"/>
      <c r="Q116" s="157"/>
      <c r="R116" s="157"/>
      <c r="S116" s="157"/>
      <c r="T116" s="157"/>
      <c r="U116" s="157"/>
      <c r="V116" s="157"/>
      <c r="W116" s="284"/>
      <c r="X116" s="238">
        <f t="shared" si="8"/>
        <v>0</v>
      </c>
    </row>
    <row r="117" spans="1:24" outlineLevel="1" x14ac:dyDescent="0.25">
      <c r="A117" s="54" t="s">
        <v>177</v>
      </c>
      <c r="B117" s="123" t="s">
        <v>463</v>
      </c>
      <c r="C117" s="123"/>
      <c r="D117" s="53"/>
      <c r="E117" s="53"/>
      <c r="F117" s="53"/>
      <c r="G117" s="53"/>
      <c r="H117" s="154"/>
      <c r="I117" s="154" t="s">
        <v>382</v>
      </c>
      <c r="J117" s="154"/>
      <c r="K117" s="154"/>
      <c r="L117" s="283"/>
      <c r="M117" s="157"/>
      <c r="N117" s="157"/>
      <c r="O117" s="157"/>
      <c r="P117" s="157"/>
      <c r="Q117" s="157"/>
      <c r="R117" s="157"/>
      <c r="S117" s="157"/>
      <c r="T117" s="157"/>
      <c r="U117" s="157"/>
      <c r="V117" s="157"/>
      <c r="W117" s="284"/>
      <c r="X117" s="234">
        <f t="shared" si="8"/>
        <v>0</v>
      </c>
    </row>
    <row r="118" spans="1:24" outlineLevel="1" x14ac:dyDescent="0.25">
      <c r="A118" s="54" t="s">
        <v>177</v>
      </c>
      <c r="B118" s="123" t="s">
        <v>464</v>
      </c>
      <c r="C118" s="123"/>
      <c r="D118" s="53"/>
      <c r="E118" s="53"/>
      <c r="F118" s="53"/>
      <c r="G118" s="53"/>
      <c r="H118" s="154"/>
      <c r="I118" s="154" t="s">
        <v>382</v>
      </c>
      <c r="J118" s="154"/>
      <c r="K118" s="154"/>
      <c r="L118" s="283"/>
      <c r="M118" s="157"/>
      <c r="N118" s="157"/>
      <c r="O118" s="157"/>
      <c r="P118" s="157"/>
      <c r="Q118" s="157"/>
      <c r="R118" s="157"/>
      <c r="S118" s="157"/>
      <c r="T118" s="157"/>
      <c r="U118" s="157"/>
      <c r="V118" s="157"/>
      <c r="W118" s="284"/>
      <c r="X118" s="234">
        <f t="shared" si="8"/>
        <v>0</v>
      </c>
    </row>
    <row r="119" spans="1:24" outlineLevel="1" x14ac:dyDescent="0.25">
      <c r="A119" s="61" t="s">
        <v>177</v>
      </c>
      <c r="B119" s="122" t="s">
        <v>178</v>
      </c>
      <c r="C119" s="122"/>
      <c r="D119" s="60"/>
      <c r="E119" s="60"/>
      <c r="F119" s="60"/>
      <c r="G119" s="60"/>
      <c r="H119" s="146"/>
      <c r="I119" s="146" t="s">
        <v>382</v>
      </c>
      <c r="J119" s="146"/>
      <c r="K119" s="146"/>
      <c r="L119" s="10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255"/>
      <c r="X119" s="234">
        <f t="shared" si="8"/>
        <v>0</v>
      </c>
    </row>
    <row r="120" spans="1:24" outlineLevel="1" x14ac:dyDescent="0.25">
      <c r="A120" s="61" t="s">
        <v>177</v>
      </c>
      <c r="B120" s="122" t="s">
        <v>465</v>
      </c>
      <c r="C120" s="122"/>
      <c r="D120" s="60"/>
      <c r="E120" s="60"/>
      <c r="F120" s="60"/>
      <c r="G120" s="60"/>
      <c r="H120" s="146"/>
      <c r="I120" s="146" t="s">
        <v>382</v>
      </c>
      <c r="J120" s="146"/>
      <c r="K120" s="146"/>
      <c r="L120" s="10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255"/>
      <c r="X120" s="234">
        <f t="shared" si="8"/>
        <v>0</v>
      </c>
    </row>
    <row r="121" spans="1:24" outlineLevel="1" x14ac:dyDescent="0.25">
      <c r="A121" s="61" t="s">
        <v>177</v>
      </c>
      <c r="B121" s="122" t="s">
        <v>466</v>
      </c>
      <c r="C121" s="122"/>
      <c r="D121" s="60"/>
      <c r="E121" s="60"/>
      <c r="F121" s="60"/>
      <c r="G121" s="60"/>
      <c r="H121" s="146"/>
      <c r="I121" s="146" t="s">
        <v>382</v>
      </c>
      <c r="J121" s="146"/>
      <c r="K121" s="146"/>
      <c r="L121" s="10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255"/>
      <c r="X121" s="234">
        <f t="shared" si="8"/>
        <v>0</v>
      </c>
    </row>
    <row r="122" spans="1:24" outlineLevel="1" x14ac:dyDescent="0.25">
      <c r="A122" s="61" t="s">
        <v>177</v>
      </c>
      <c r="B122" s="122" t="s">
        <v>467</v>
      </c>
      <c r="C122" s="122"/>
      <c r="D122" s="60"/>
      <c r="E122" s="60"/>
      <c r="F122" s="60"/>
      <c r="G122" s="60"/>
      <c r="H122" s="146"/>
      <c r="I122" s="146" t="s">
        <v>382</v>
      </c>
      <c r="J122" s="146"/>
      <c r="K122" s="146"/>
      <c r="L122" s="10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255"/>
      <c r="X122" s="234">
        <f t="shared" si="8"/>
        <v>0</v>
      </c>
    </row>
    <row r="123" spans="1:24" outlineLevel="1" x14ac:dyDescent="0.25">
      <c r="A123" s="61" t="s">
        <v>177</v>
      </c>
      <c r="B123" s="122" t="s">
        <v>468</v>
      </c>
      <c r="C123" s="122"/>
      <c r="D123" s="60"/>
      <c r="E123" s="60"/>
      <c r="F123" s="60"/>
      <c r="G123" s="60"/>
      <c r="H123" s="146"/>
      <c r="I123" s="146" t="s">
        <v>382</v>
      </c>
      <c r="J123" s="146"/>
      <c r="K123" s="146"/>
      <c r="L123" s="10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255"/>
      <c r="X123" s="234">
        <f t="shared" si="8"/>
        <v>0</v>
      </c>
    </row>
    <row r="124" spans="1:24" outlineLevel="1" x14ac:dyDescent="0.25">
      <c r="A124" s="61" t="s">
        <v>177</v>
      </c>
      <c r="B124" s="122" t="s">
        <v>469</v>
      </c>
      <c r="C124" s="122"/>
      <c r="D124" s="60"/>
      <c r="E124" s="60"/>
      <c r="F124" s="60"/>
      <c r="G124" s="60"/>
      <c r="H124" s="146"/>
      <c r="I124" s="146" t="s">
        <v>382</v>
      </c>
      <c r="J124" s="146"/>
      <c r="K124" s="146"/>
      <c r="L124" s="10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255"/>
      <c r="X124" s="234">
        <f t="shared" si="8"/>
        <v>0</v>
      </c>
    </row>
    <row r="125" spans="1:24" outlineLevel="1" x14ac:dyDescent="0.25">
      <c r="A125" s="61" t="s">
        <v>177</v>
      </c>
      <c r="B125" s="122" t="s">
        <v>470</v>
      </c>
      <c r="C125" s="122"/>
      <c r="D125" s="60"/>
      <c r="E125" s="60"/>
      <c r="F125" s="60"/>
      <c r="G125" s="60"/>
      <c r="H125" s="146"/>
      <c r="I125" s="146" t="s">
        <v>382</v>
      </c>
      <c r="J125" s="146"/>
      <c r="K125" s="146"/>
      <c r="L125" s="10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255"/>
      <c r="X125" s="234">
        <f t="shared" si="8"/>
        <v>0</v>
      </c>
    </row>
    <row r="126" spans="1:24" outlineLevel="1" x14ac:dyDescent="0.25">
      <c r="A126" s="61" t="s">
        <v>177</v>
      </c>
      <c r="B126" s="122" t="s">
        <v>471</v>
      </c>
      <c r="C126" s="122"/>
      <c r="D126" s="60"/>
      <c r="E126" s="60"/>
      <c r="F126" s="60"/>
      <c r="G126" s="60"/>
      <c r="H126" s="146"/>
      <c r="I126" s="146" t="s">
        <v>382</v>
      </c>
      <c r="J126" s="146"/>
      <c r="K126" s="146"/>
      <c r="L126" s="10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255"/>
      <c r="X126" s="234">
        <f t="shared" si="8"/>
        <v>0</v>
      </c>
    </row>
    <row r="127" spans="1:24" outlineLevel="1" x14ac:dyDescent="0.25">
      <c r="A127" s="61" t="s">
        <v>177</v>
      </c>
      <c r="B127" s="122" t="s">
        <v>472</v>
      </c>
      <c r="C127" s="122"/>
      <c r="D127" s="60"/>
      <c r="E127" s="60"/>
      <c r="F127" s="60"/>
      <c r="G127" s="60"/>
      <c r="H127" s="146"/>
      <c r="I127" s="146" t="s">
        <v>382</v>
      </c>
      <c r="J127" s="146"/>
      <c r="K127" s="146"/>
      <c r="L127" s="10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255"/>
      <c r="X127" s="234">
        <f t="shared" si="8"/>
        <v>0</v>
      </c>
    </row>
    <row r="128" spans="1:24" outlineLevel="1" x14ac:dyDescent="0.25">
      <c r="A128" s="61" t="s">
        <v>177</v>
      </c>
      <c r="B128" s="122" t="s">
        <v>473</v>
      </c>
      <c r="C128" s="122"/>
      <c r="D128" s="60"/>
      <c r="E128" s="60"/>
      <c r="F128" s="60"/>
      <c r="G128" s="60"/>
      <c r="H128" s="146"/>
      <c r="I128" s="146" t="s">
        <v>382</v>
      </c>
      <c r="J128" s="146"/>
      <c r="K128" s="146"/>
      <c r="L128" s="10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255"/>
      <c r="X128" s="234">
        <f t="shared" si="8"/>
        <v>0</v>
      </c>
    </row>
    <row r="129" spans="1:24" outlineLevel="1" x14ac:dyDescent="0.25">
      <c r="A129" s="61" t="s">
        <v>177</v>
      </c>
      <c r="B129" s="122" t="s">
        <v>474</v>
      </c>
      <c r="C129" s="122"/>
      <c r="D129" s="60"/>
      <c r="E129" s="60"/>
      <c r="F129" s="60"/>
      <c r="G129" s="60"/>
      <c r="H129" s="146"/>
      <c r="I129" s="146" t="s">
        <v>382</v>
      </c>
      <c r="J129" s="146"/>
      <c r="K129" s="146"/>
      <c r="L129" s="10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255"/>
      <c r="X129" s="234">
        <f t="shared" si="8"/>
        <v>0</v>
      </c>
    </row>
    <row r="130" spans="1:24" outlineLevel="1" x14ac:dyDescent="0.25">
      <c r="A130" s="61" t="s">
        <v>177</v>
      </c>
      <c r="B130" s="122" t="s">
        <v>475</v>
      </c>
      <c r="C130" s="122"/>
      <c r="D130" s="60"/>
      <c r="E130" s="60"/>
      <c r="F130" s="60"/>
      <c r="G130" s="60"/>
      <c r="H130" s="146"/>
      <c r="I130" s="146" t="s">
        <v>382</v>
      </c>
      <c r="J130" s="146"/>
      <c r="K130" s="146"/>
      <c r="L130" s="10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255"/>
      <c r="X130" s="234">
        <f t="shared" si="8"/>
        <v>0</v>
      </c>
    </row>
    <row r="131" spans="1:24" outlineLevel="1" x14ac:dyDescent="0.25">
      <c r="A131" s="61" t="s">
        <v>177</v>
      </c>
      <c r="B131" s="122" t="s">
        <v>476</v>
      </c>
      <c r="C131" s="122"/>
      <c r="D131" s="60"/>
      <c r="E131" s="60"/>
      <c r="F131" s="60"/>
      <c r="G131" s="60"/>
      <c r="H131" s="146"/>
      <c r="I131" s="146" t="s">
        <v>382</v>
      </c>
      <c r="J131" s="146"/>
      <c r="K131" s="146"/>
      <c r="L131" s="10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255"/>
      <c r="X131" s="234">
        <f t="shared" si="8"/>
        <v>0</v>
      </c>
    </row>
    <row r="132" spans="1:24" outlineLevel="1" x14ac:dyDescent="0.25">
      <c r="A132" s="61" t="s">
        <v>177</v>
      </c>
      <c r="B132" s="122" t="s">
        <v>179</v>
      </c>
      <c r="C132" s="122"/>
      <c r="D132" s="60"/>
      <c r="E132" s="60"/>
      <c r="F132" s="60"/>
      <c r="G132" s="60"/>
      <c r="H132" s="146">
        <v>1</v>
      </c>
      <c r="I132" s="146" t="s">
        <v>382</v>
      </c>
      <c r="J132" s="146"/>
      <c r="K132" s="146"/>
      <c r="L132" s="260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261"/>
      <c r="X132" s="234">
        <f t="shared" si="8"/>
        <v>0</v>
      </c>
    </row>
    <row r="133" spans="1:24" outlineLevel="1" x14ac:dyDescent="0.25">
      <c r="A133" s="61" t="s">
        <v>177</v>
      </c>
      <c r="B133" s="122" t="s">
        <v>477</v>
      </c>
      <c r="C133" s="122"/>
      <c r="D133" s="60"/>
      <c r="E133" s="60"/>
      <c r="F133" s="60"/>
      <c r="G133" s="60"/>
      <c r="H133" s="146"/>
      <c r="I133" s="146" t="s">
        <v>382</v>
      </c>
      <c r="J133" s="146"/>
      <c r="K133" s="146"/>
      <c r="L133" s="10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255"/>
      <c r="X133" s="234">
        <f t="shared" si="8"/>
        <v>0</v>
      </c>
    </row>
    <row r="134" spans="1:24" outlineLevel="1" x14ac:dyDescent="0.25">
      <c r="A134" s="61" t="s">
        <v>177</v>
      </c>
      <c r="B134" s="122" t="s">
        <v>478</v>
      </c>
      <c r="C134" s="122"/>
      <c r="D134" s="60"/>
      <c r="E134" s="60"/>
      <c r="F134" s="60"/>
      <c r="G134" s="60"/>
      <c r="H134" s="146"/>
      <c r="I134" s="146" t="s">
        <v>382</v>
      </c>
      <c r="J134" s="146"/>
      <c r="K134" s="146"/>
      <c r="L134" s="10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255"/>
      <c r="X134" s="234">
        <f t="shared" si="8"/>
        <v>0</v>
      </c>
    </row>
    <row r="135" spans="1:24" outlineLevel="1" x14ac:dyDescent="0.25">
      <c r="A135" s="61" t="s">
        <v>177</v>
      </c>
      <c r="B135" s="122" t="s">
        <v>479</v>
      </c>
      <c r="C135" s="122"/>
      <c r="D135" s="60"/>
      <c r="E135" s="60"/>
      <c r="F135" s="60"/>
      <c r="G135" s="60"/>
      <c r="H135" s="146"/>
      <c r="I135" s="146" t="s">
        <v>382</v>
      </c>
      <c r="J135" s="146"/>
      <c r="K135" s="146"/>
      <c r="L135" s="10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255"/>
      <c r="X135" s="234">
        <f t="shared" si="8"/>
        <v>0</v>
      </c>
    </row>
    <row r="136" spans="1:24" outlineLevel="1" x14ac:dyDescent="0.25">
      <c r="A136" s="61" t="s">
        <v>177</v>
      </c>
      <c r="B136" s="122" t="s">
        <v>480</v>
      </c>
      <c r="C136" s="122"/>
      <c r="D136" s="60"/>
      <c r="E136" s="60"/>
      <c r="F136" s="60"/>
      <c r="G136" s="60"/>
      <c r="H136" s="146"/>
      <c r="I136" s="146" t="s">
        <v>382</v>
      </c>
      <c r="J136" s="146"/>
      <c r="K136" s="146"/>
      <c r="L136" s="10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255"/>
      <c r="X136" s="234">
        <f t="shared" si="8"/>
        <v>0</v>
      </c>
    </row>
    <row r="137" spans="1:24" outlineLevel="1" x14ac:dyDescent="0.25">
      <c r="A137" s="61" t="s">
        <v>177</v>
      </c>
      <c r="B137" s="122" t="s">
        <v>481</v>
      </c>
      <c r="C137" s="122"/>
      <c r="D137" s="60"/>
      <c r="E137" s="60"/>
      <c r="F137" s="60"/>
      <c r="G137" s="60"/>
      <c r="H137" s="146"/>
      <c r="I137" s="146" t="s">
        <v>382</v>
      </c>
      <c r="J137" s="146"/>
      <c r="K137" s="146"/>
      <c r="L137" s="10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255"/>
      <c r="X137" s="234">
        <f t="shared" si="8"/>
        <v>0</v>
      </c>
    </row>
    <row r="138" spans="1:24" outlineLevel="1" x14ac:dyDescent="0.25">
      <c r="A138" s="156" t="s">
        <v>177</v>
      </c>
      <c r="B138" s="152" t="s">
        <v>181</v>
      </c>
      <c r="C138" s="152"/>
      <c r="D138" s="46"/>
      <c r="E138" s="46"/>
      <c r="F138" s="46"/>
      <c r="G138" s="46"/>
      <c r="H138" s="135"/>
      <c r="I138" s="135" t="s">
        <v>382</v>
      </c>
      <c r="J138" s="135"/>
      <c r="K138" s="135"/>
      <c r="L138" s="28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286"/>
      <c r="X138" s="237">
        <f t="shared" si="8"/>
        <v>0</v>
      </c>
    </row>
    <row r="139" spans="1:24" ht="15.75" outlineLevel="1" thickBot="1" x14ac:dyDescent="0.3">
      <c r="A139" s="61" t="s">
        <v>177</v>
      </c>
      <c r="B139" s="122" t="s">
        <v>482</v>
      </c>
      <c r="C139" s="122"/>
      <c r="D139" s="60"/>
      <c r="E139" s="60"/>
      <c r="F139" s="60"/>
      <c r="G139" s="60"/>
      <c r="H139" s="146"/>
      <c r="I139" s="146" t="s">
        <v>382</v>
      </c>
      <c r="J139" s="146"/>
      <c r="K139" s="146"/>
      <c r="L139" s="10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255"/>
      <c r="X139" s="234">
        <f t="shared" si="8"/>
        <v>0</v>
      </c>
    </row>
    <row r="140" spans="1:24" outlineLevel="1" x14ac:dyDescent="0.25">
      <c r="A140" s="62" t="s">
        <v>177</v>
      </c>
      <c r="B140" s="119" t="s">
        <v>483</v>
      </c>
      <c r="C140" s="119"/>
      <c r="D140" s="33"/>
      <c r="E140" s="33"/>
      <c r="F140" s="33"/>
      <c r="G140" s="33"/>
      <c r="H140" s="148"/>
      <c r="I140" s="148" t="s">
        <v>382</v>
      </c>
      <c r="J140" s="148"/>
      <c r="K140" s="148"/>
      <c r="L140" s="258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259"/>
      <c r="X140" s="236">
        <f t="shared" si="8"/>
        <v>0</v>
      </c>
    </row>
    <row r="141" spans="1:24" outlineLevel="1" x14ac:dyDescent="0.25">
      <c r="A141" s="61" t="s">
        <v>177</v>
      </c>
      <c r="B141" s="122" t="s">
        <v>484</v>
      </c>
      <c r="C141" s="122"/>
      <c r="D141" s="60"/>
      <c r="E141" s="60"/>
      <c r="F141" s="60"/>
      <c r="G141" s="60"/>
      <c r="H141" s="146"/>
      <c r="I141" s="146" t="s">
        <v>382</v>
      </c>
      <c r="J141" s="146"/>
      <c r="K141" s="146"/>
      <c r="L141" s="111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265"/>
      <c r="X141" s="234">
        <f t="shared" si="8"/>
        <v>0</v>
      </c>
    </row>
    <row r="142" spans="1:24" outlineLevel="1" x14ac:dyDescent="0.25">
      <c r="A142" s="61" t="s">
        <v>177</v>
      </c>
      <c r="B142" s="122" t="s">
        <v>485</v>
      </c>
      <c r="C142" s="122"/>
      <c r="D142" s="60"/>
      <c r="E142" s="60"/>
      <c r="F142" s="60"/>
      <c r="G142" s="60"/>
      <c r="H142" s="146"/>
      <c r="I142" s="146" t="s">
        <v>382</v>
      </c>
      <c r="J142" s="146"/>
      <c r="K142" s="146"/>
      <c r="L142" s="266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262"/>
      <c r="X142" s="234">
        <f t="shared" si="8"/>
        <v>0</v>
      </c>
    </row>
    <row r="143" spans="1:24" outlineLevel="1" x14ac:dyDescent="0.25">
      <c r="A143" s="61" t="s">
        <v>486</v>
      </c>
      <c r="B143" s="122" t="s">
        <v>487</v>
      </c>
      <c r="C143" s="122"/>
      <c r="D143" s="60"/>
      <c r="E143" s="60"/>
      <c r="F143" s="60"/>
      <c r="G143" s="60"/>
      <c r="H143" s="146"/>
      <c r="I143" s="146" t="s">
        <v>382</v>
      </c>
      <c r="J143" s="146"/>
      <c r="K143" s="146"/>
      <c r="L143" s="266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262"/>
      <c r="X143" s="234">
        <f t="shared" si="8"/>
        <v>0</v>
      </c>
    </row>
    <row r="144" spans="1:24" outlineLevel="1" x14ac:dyDescent="0.25">
      <c r="A144" s="61" t="s">
        <v>486</v>
      </c>
      <c r="B144" s="122" t="s">
        <v>488</v>
      </c>
      <c r="C144" s="122"/>
      <c r="D144" s="60"/>
      <c r="E144" s="60"/>
      <c r="F144" s="60"/>
      <c r="G144" s="60"/>
      <c r="H144" s="146"/>
      <c r="I144" s="146" t="s">
        <v>382</v>
      </c>
      <c r="J144" s="146"/>
      <c r="K144" s="146"/>
      <c r="L144" s="266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262"/>
      <c r="X144" s="234">
        <f t="shared" si="8"/>
        <v>0</v>
      </c>
    </row>
    <row r="145" spans="1:24" outlineLevel="1" x14ac:dyDescent="0.25">
      <c r="A145" s="61" t="s">
        <v>486</v>
      </c>
      <c r="B145" s="122" t="s">
        <v>489</v>
      </c>
      <c r="C145" s="122"/>
      <c r="D145" s="60"/>
      <c r="E145" s="60"/>
      <c r="F145" s="60"/>
      <c r="G145" s="60"/>
      <c r="H145" s="146"/>
      <c r="I145" s="146" t="s">
        <v>382</v>
      </c>
      <c r="J145" s="146"/>
      <c r="K145" s="146"/>
      <c r="L145" s="266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262"/>
      <c r="X145" s="234">
        <f>SUM(L145:W145)</f>
        <v>0</v>
      </c>
    </row>
    <row r="146" spans="1:24" ht="15.75" outlineLevel="1" thickBot="1" x14ac:dyDescent="0.3">
      <c r="A146" s="61" t="s">
        <v>486</v>
      </c>
      <c r="B146" s="122" t="s">
        <v>180</v>
      </c>
      <c r="C146" s="122"/>
      <c r="D146" s="60"/>
      <c r="E146" s="60"/>
      <c r="F146" s="60"/>
      <c r="G146" s="60"/>
      <c r="H146" s="146"/>
      <c r="I146" s="146" t="s">
        <v>382</v>
      </c>
      <c r="J146" s="146"/>
      <c r="K146" s="146"/>
      <c r="L146" s="266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262"/>
      <c r="X146" s="234">
        <f>SUM(L146:W146)</f>
        <v>0</v>
      </c>
    </row>
    <row r="147" spans="1:24" ht="15.75" thickBot="1" x14ac:dyDescent="0.3">
      <c r="A147" s="760" t="s">
        <v>490</v>
      </c>
      <c r="B147" s="761"/>
      <c r="C147" s="761"/>
      <c r="D147" s="22">
        <v>0</v>
      </c>
      <c r="E147" s="22">
        <v>0</v>
      </c>
      <c r="F147" s="22">
        <v>4</v>
      </c>
      <c r="G147" s="22">
        <v>7</v>
      </c>
      <c r="H147" s="22">
        <v>10</v>
      </c>
      <c r="I147" s="22">
        <v>1</v>
      </c>
      <c r="J147" s="22">
        <v>4</v>
      </c>
      <c r="K147" s="22">
        <v>1</v>
      </c>
      <c r="L147" s="287">
        <f t="shared" ref="L147:X147" si="9">SUM(L81:L146)</f>
        <v>0</v>
      </c>
      <c r="M147" s="134">
        <f t="shared" si="9"/>
        <v>0</v>
      </c>
      <c r="N147" s="134">
        <f t="shared" si="9"/>
        <v>0</v>
      </c>
      <c r="O147" s="134">
        <f t="shared" si="9"/>
        <v>0</v>
      </c>
      <c r="P147" s="134">
        <f t="shared" si="9"/>
        <v>0</v>
      </c>
      <c r="Q147" s="134">
        <f t="shared" si="9"/>
        <v>0</v>
      </c>
      <c r="R147" s="134">
        <f t="shared" si="9"/>
        <v>0</v>
      </c>
      <c r="S147" s="134">
        <f t="shared" si="9"/>
        <v>0</v>
      </c>
      <c r="T147" s="134">
        <f t="shared" si="9"/>
        <v>0</v>
      </c>
      <c r="U147" s="134">
        <f t="shared" si="9"/>
        <v>0</v>
      </c>
      <c r="V147" s="134">
        <f t="shared" si="9"/>
        <v>0</v>
      </c>
      <c r="W147" s="288">
        <f t="shared" si="9"/>
        <v>0</v>
      </c>
      <c r="X147" s="63">
        <f t="shared" si="9"/>
        <v>0</v>
      </c>
    </row>
    <row r="148" spans="1:24" outlineLevel="1" x14ac:dyDescent="0.25">
      <c r="A148" s="62" t="s">
        <v>122</v>
      </c>
      <c r="B148" s="119" t="s">
        <v>491</v>
      </c>
      <c r="C148" s="155" t="s">
        <v>492</v>
      </c>
      <c r="D148" s="33"/>
      <c r="E148" s="33"/>
      <c r="F148" s="33"/>
      <c r="G148" s="33"/>
      <c r="H148" s="148"/>
      <c r="I148" s="148" t="s">
        <v>382</v>
      </c>
      <c r="J148" s="148"/>
      <c r="K148" s="148"/>
      <c r="L148" s="258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259"/>
      <c r="X148" s="236">
        <f t="shared" ref="X148:X176" si="10">SUM(L148:W148)</f>
        <v>0</v>
      </c>
    </row>
    <row r="149" spans="1:24" outlineLevel="1" x14ac:dyDescent="0.25">
      <c r="A149" s="54" t="s">
        <v>122</v>
      </c>
      <c r="B149" s="122" t="s">
        <v>493</v>
      </c>
      <c r="C149" s="155" t="s">
        <v>494</v>
      </c>
      <c r="D149" s="60"/>
      <c r="E149" s="60"/>
      <c r="F149" s="60"/>
      <c r="G149" s="60">
        <v>2</v>
      </c>
      <c r="H149" s="146"/>
      <c r="I149" s="146" t="s">
        <v>382</v>
      </c>
      <c r="J149" s="146">
        <v>1</v>
      </c>
      <c r="K149" s="146"/>
      <c r="L149" s="10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255"/>
      <c r="X149" s="234">
        <f t="shared" si="10"/>
        <v>0</v>
      </c>
    </row>
    <row r="150" spans="1:24" outlineLevel="1" x14ac:dyDescent="0.25">
      <c r="A150" s="54" t="s">
        <v>122</v>
      </c>
      <c r="B150" s="122" t="s">
        <v>210</v>
      </c>
      <c r="C150" s="155" t="s">
        <v>495</v>
      </c>
      <c r="D150" s="60"/>
      <c r="E150" s="60"/>
      <c r="F150" s="60"/>
      <c r="G150" s="60"/>
      <c r="H150" s="146"/>
      <c r="I150" s="146" t="s">
        <v>382</v>
      </c>
      <c r="J150" s="146"/>
      <c r="K150" s="146"/>
      <c r="L150" s="10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255"/>
      <c r="X150" s="234">
        <f t="shared" si="10"/>
        <v>0</v>
      </c>
    </row>
    <row r="151" spans="1:24" outlineLevel="1" x14ac:dyDescent="0.25">
      <c r="A151" s="54" t="s">
        <v>211</v>
      </c>
      <c r="B151" s="122" t="s">
        <v>212</v>
      </c>
      <c r="C151" s="155" t="s">
        <v>496</v>
      </c>
      <c r="D151" s="60"/>
      <c r="E151" s="60"/>
      <c r="F151" s="60"/>
      <c r="G151" s="60"/>
      <c r="H151" s="146"/>
      <c r="I151" s="146" t="s">
        <v>382</v>
      </c>
      <c r="J151" s="146"/>
      <c r="K151" s="146"/>
      <c r="L151" s="10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255"/>
      <c r="X151" s="234">
        <f t="shared" si="10"/>
        <v>0</v>
      </c>
    </row>
    <row r="152" spans="1:24" outlineLevel="1" x14ac:dyDescent="0.25">
      <c r="A152" s="54" t="s">
        <v>211</v>
      </c>
      <c r="B152" s="122" t="s">
        <v>213</v>
      </c>
      <c r="C152" s="155" t="s">
        <v>497</v>
      </c>
      <c r="D152" s="60"/>
      <c r="E152" s="60">
        <v>4</v>
      </c>
      <c r="F152" s="60">
        <v>1</v>
      </c>
      <c r="G152" s="60"/>
      <c r="H152" s="146">
        <v>1</v>
      </c>
      <c r="I152" s="146">
        <v>4</v>
      </c>
      <c r="J152" s="146"/>
      <c r="K152" s="146"/>
      <c r="L152" s="10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255"/>
      <c r="X152" s="234">
        <f t="shared" si="10"/>
        <v>0</v>
      </c>
    </row>
    <row r="153" spans="1:24" outlineLevel="1" x14ac:dyDescent="0.25">
      <c r="A153" s="54" t="s">
        <v>214</v>
      </c>
      <c r="B153" s="122" t="s">
        <v>216</v>
      </c>
      <c r="C153" s="155" t="s">
        <v>498</v>
      </c>
      <c r="D153" s="60"/>
      <c r="E153" s="60"/>
      <c r="F153" s="60">
        <v>1</v>
      </c>
      <c r="G153" s="60"/>
      <c r="H153" s="146"/>
      <c r="I153" s="146" t="s">
        <v>382</v>
      </c>
      <c r="J153" s="146"/>
      <c r="K153" s="146"/>
      <c r="L153" s="10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255"/>
      <c r="X153" s="234">
        <f t="shared" si="10"/>
        <v>0</v>
      </c>
    </row>
    <row r="154" spans="1:24" outlineLevel="1" x14ac:dyDescent="0.25">
      <c r="A154" s="54" t="s">
        <v>214</v>
      </c>
      <c r="B154" s="122" t="s">
        <v>217</v>
      </c>
      <c r="C154" s="155" t="s">
        <v>499</v>
      </c>
      <c r="D154" s="60"/>
      <c r="E154" s="60"/>
      <c r="F154" s="60"/>
      <c r="G154" s="60"/>
      <c r="H154" s="146"/>
      <c r="I154" s="146" t="s">
        <v>382</v>
      </c>
      <c r="J154" s="146"/>
      <c r="K154" s="146"/>
      <c r="L154" s="10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255"/>
      <c r="X154" s="234">
        <f t="shared" si="10"/>
        <v>0</v>
      </c>
    </row>
    <row r="155" spans="1:24" outlineLevel="1" x14ac:dyDescent="0.25">
      <c r="A155" s="54" t="s">
        <v>122</v>
      </c>
      <c r="B155" s="122" t="s">
        <v>208</v>
      </c>
      <c r="C155" s="155" t="s">
        <v>495</v>
      </c>
      <c r="D155" s="60"/>
      <c r="E155" s="60"/>
      <c r="F155" s="60"/>
      <c r="G155" s="60"/>
      <c r="H155" s="146"/>
      <c r="I155" s="146" t="s">
        <v>382</v>
      </c>
      <c r="J155" s="146"/>
      <c r="K155" s="146"/>
      <c r="L155" s="10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255"/>
      <c r="X155" s="234">
        <f t="shared" si="10"/>
        <v>0</v>
      </c>
    </row>
    <row r="156" spans="1:24" ht="15.75" outlineLevel="1" thickBot="1" x14ac:dyDescent="0.3">
      <c r="A156" s="57" t="s">
        <v>214</v>
      </c>
      <c r="B156" s="124" t="s">
        <v>215</v>
      </c>
      <c r="C156" s="155" t="s">
        <v>498</v>
      </c>
      <c r="D156" s="37"/>
      <c r="E156" s="37"/>
      <c r="F156" s="37"/>
      <c r="G156" s="37"/>
      <c r="H156" s="144"/>
      <c r="I156" s="144" t="s">
        <v>382</v>
      </c>
      <c r="J156" s="144"/>
      <c r="K156" s="144"/>
      <c r="L156" s="25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257"/>
      <c r="X156" s="235">
        <f t="shared" si="10"/>
        <v>0</v>
      </c>
    </row>
    <row r="157" spans="1:24" outlineLevel="1" x14ac:dyDescent="0.25">
      <c r="A157" s="62" t="s">
        <v>227</v>
      </c>
      <c r="B157" s="119" t="s">
        <v>500</v>
      </c>
      <c r="C157" s="119"/>
      <c r="D157" s="33"/>
      <c r="E157" s="33"/>
      <c r="F157" s="33"/>
      <c r="G157" s="33"/>
      <c r="H157" s="148"/>
      <c r="I157" s="148" t="s">
        <v>382</v>
      </c>
      <c r="J157" s="148"/>
      <c r="K157" s="148"/>
      <c r="L157" s="258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259"/>
      <c r="X157" s="236">
        <f t="shared" si="10"/>
        <v>0</v>
      </c>
    </row>
    <row r="158" spans="1:24" outlineLevel="1" x14ac:dyDescent="0.25">
      <c r="A158" s="54" t="s">
        <v>227</v>
      </c>
      <c r="B158" s="122" t="s">
        <v>501</v>
      </c>
      <c r="C158" s="122"/>
      <c r="D158" s="60"/>
      <c r="E158" s="60"/>
      <c r="F158" s="60"/>
      <c r="G158" s="60"/>
      <c r="H158" s="146">
        <v>1</v>
      </c>
      <c r="I158" s="146" t="s">
        <v>382</v>
      </c>
      <c r="J158" s="146"/>
      <c r="K158" s="146"/>
      <c r="L158" s="10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255"/>
      <c r="X158" s="234">
        <f t="shared" si="10"/>
        <v>0</v>
      </c>
    </row>
    <row r="159" spans="1:24" outlineLevel="1" x14ac:dyDescent="0.25">
      <c r="A159" s="54" t="s">
        <v>227</v>
      </c>
      <c r="B159" s="122" t="s">
        <v>502</v>
      </c>
      <c r="C159" s="122"/>
      <c r="D159" s="60"/>
      <c r="E159" s="60">
        <v>1</v>
      </c>
      <c r="F159" s="60"/>
      <c r="G159" s="60"/>
      <c r="H159" s="146"/>
      <c r="I159" s="146" t="s">
        <v>382</v>
      </c>
      <c r="J159" s="146"/>
      <c r="K159" s="146"/>
      <c r="L159" s="10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255"/>
      <c r="X159" s="234">
        <f t="shared" si="10"/>
        <v>0</v>
      </c>
    </row>
    <row r="160" spans="1:24" outlineLevel="1" x14ac:dyDescent="0.25">
      <c r="A160" s="54" t="s">
        <v>227</v>
      </c>
      <c r="B160" s="122" t="s">
        <v>234</v>
      </c>
      <c r="C160" s="122"/>
      <c r="D160" s="60"/>
      <c r="E160" s="60"/>
      <c r="F160" s="60"/>
      <c r="G160" s="60"/>
      <c r="H160" s="146"/>
      <c r="I160" s="146" t="s">
        <v>382</v>
      </c>
      <c r="J160" s="146"/>
      <c r="K160" s="146"/>
      <c r="L160" s="10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255"/>
      <c r="X160" s="234">
        <f t="shared" si="10"/>
        <v>0</v>
      </c>
    </row>
    <row r="161" spans="1:24" outlineLevel="1" x14ac:dyDescent="0.25">
      <c r="A161" s="54" t="s">
        <v>227</v>
      </c>
      <c r="B161" s="122" t="s">
        <v>503</v>
      </c>
      <c r="C161" s="122"/>
      <c r="D161" s="60"/>
      <c r="E161" s="60"/>
      <c r="F161" s="60"/>
      <c r="G161" s="60"/>
      <c r="H161" s="146"/>
      <c r="I161" s="146" t="s">
        <v>382</v>
      </c>
      <c r="J161" s="146"/>
      <c r="K161" s="146"/>
      <c r="L161" s="10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255"/>
      <c r="X161" s="234">
        <f t="shared" si="10"/>
        <v>0</v>
      </c>
    </row>
    <row r="162" spans="1:24" outlineLevel="1" x14ac:dyDescent="0.25">
      <c r="A162" s="54" t="s">
        <v>227</v>
      </c>
      <c r="B162" s="122" t="s">
        <v>504</v>
      </c>
      <c r="C162" s="122"/>
      <c r="D162" s="60"/>
      <c r="E162" s="60"/>
      <c r="F162" s="60"/>
      <c r="G162" s="60"/>
      <c r="H162" s="146"/>
      <c r="I162" s="146" t="s">
        <v>382</v>
      </c>
      <c r="J162" s="146"/>
      <c r="K162" s="146"/>
      <c r="L162" s="10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255"/>
      <c r="X162" s="234">
        <f t="shared" si="10"/>
        <v>0</v>
      </c>
    </row>
    <row r="163" spans="1:24" outlineLevel="1" x14ac:dyDescent="0.25">
      <c r="A163" s="54" t="s">
        <v>227</v>
      </c>
      <c r="B163" s="122" t="s">
        <v>229</v>
      </c>
      <c r="C163" s="122"/>
      <c r="D163" s="60"/>
      <c r="E163" s="60">
        <v>1</v>
      </c>
      <c r="F163" s="60">
        <v>1</v>
      </c>
      <c r="G163" s="60"/>
      <c r="H163" s="146"/>
      <c r="I163" s="146">
        <v>1</v>
      </c>
      <c r="J163" s="146"/>
      <c r="K163" s="146"/>
      <c r="L163" s="10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234">
        <f t="shared" si="10"/>
        <v>0</v>
      </c>
    </row>
    <row r="164" spans="1:24" outlineLevel="1" x14ac:dyDescent="0.25">
      <c r="A164" s="54" t="s">
        <v>227</v>
      </c>
      <c r="B164" s="122" t="s">
        <v>505</v>
      </c>
      <c r="C164" s="122"/>
      <c r="D164" s="60"/>
      <c r="E164" s="60"/>
      <c r="F164" s="60"/>
      <c r="G164" s="60"/>
      <c r="H164" s="146"/>
      <c r="I164" s="146" t="s">
        <v>382</v>
      </c>
      <c r="J164" s="146"/>
      <c r="K164" s="146"/>
      <c r="L164" s="10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255"/>
      <c r="X164" s="234">
        <f t="shared" si="10"/>
        <v>0</v>
      </c>
    </row>
    <row r="165" spans="1:24" outlineLevel="1" x14ac:dyDescent="0.25">
      <c r="A165" s="54" t="s">
        <v>227</v>
      </c>
      <c r="B165" s="122" t="s">
        <v>230</v>
      </c>
      <c r="C165" s="155" t="s">
        <v>495</v>
      </c>
      <c r="D165" s="60"/>
      <c r="E165" s="60"/>
      <c r="F165" s="60"/>
      <c r="G165" s="60"/>
      <c r="H165" s="146"/>
      <c r="I165" s="146" t="s">
        <v>382</v>
      </c>
      <c r="J165" s="146"/>
      <c r="K165" s="146"/>
      <c r="L165" s="10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255"/>
      <c r="X165" s="234">
        <f t="shared" si="10"/>
        <v>0</v>
      </c>
    </row>
    <row r="166" spans="1:24" outlineLevel="1" x14ac:dyDescent="0.25">
      <c r="A166" s="54" t="s">
        <v>227</v>
      </c>
      <c r="B166" s="122" t="s">
        <v>230</v>
      </c>
      <c r="C166" s="155"/>
      <c r="D166" s="60"/>
      <c r="E166" s="60"/>
      <c r="F166" s="60"/>
      <c r="G166" s="60"/>
      <c r="H166" s="146"/>
      <c r="I166" s="146" t="s">
        <v>382</v>
      </c>
      <c r="J166" s="146"/>
      <c r="K166" s="146"/>
      <c r="L166" s="10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255"/>
      <c r="X166" s="234">
        <f t="shared" si="10"/>
        <v>0</v>
      </c>
    </row>
    <row r="167" spans="1:24" outlineLevel="1" x14ac:dyDescent="0.25">
      <c r="A167" s="54" t="s">
        <v>227</v>
      </c>
      <c r="B167" s="122" t="s">
        <v>506</v>
      </c>
      <c r="C167" s="155"/>
      <c r="D167" s="60"/>
      <c r="E167" s="60"/>
      <c r="F167" s="60"/>
      <c r="G167" s="60"/>
      <c r="H167" s="146"/>
      <c r="I167" s="146" t="s">
        <v>382</v>
      </c>
      <c r="J167" s="146"/>
      <c r="K167" s="146"/>
      <c r="L167" s="10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255"/>
      <c r="X167" s="234">
        <f t="shared" si="10"/>
        <v>0</v>
      </c>
    </row>
    <row r="168" spans="1:24" outlineLevel="1" x14ac:dyDescent="0.25">
      <c r="A168" s="54" t="s">
        <v>227</v>
      </c>
      <c r="B168" s="122" t="s">
        <v>507</v>
      </c>
      <c r="C168" s="155"/>
      <c r="D168" s="60"/>
      <c r="E168" s="60"/>
      <c r="F168" s="60"/>
      <c r="G168" s="60"/>
      <c r="H168" s="146"/>
      <c r="I168" s="146"/>
      <c r="J168" s="146"/>
      <c r="K168" s="146"/>
      <c r="L168" s="10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255"/>
      <c r="X168" s="234">
        <f t="shared" si="10"/>
        <v>0</v>
      </c>
    </row>
    <row r="169" spans="1:24" outlineLevel="1" x14ac:dyDescent="0.25">
      <c r="A169" s="54" t="s">
        <v>126</v>
      </c>
      <c r="B169" s="122" t="s">
        <v>127</v>
      </c>
      <c r="C169" s="122"/>
      <c r="D169" s="60"/>
      <c r="E169" s="60"/>
      <c r="F169" s="60"/>
      <c r="G169" s="60"/>
      <c r="H169" s="146"/>
      <c r="I169" s="146" t="s">
        <v>382</v>
      </c>
      <c r="J169" s="146"/>
      <c r="K169" s="146">
        <v>1</v>
      </c>
      <c r="L169" s="10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255"/>
      <c r="X169" s="234">
        <f t="shared" si="10"/>
        <v>0</v>
      </c>
    </row>
    <row r="170" spans="1:24" outlineLevel="1" x14ac:dyDescent="0.25">
      <c r="A170" s="54" t="s">
        <v>126</v>
      </c>
      <c r="B170" s="122" t="s">
        <v>359</v>
      </c>
      <c r="C170" s="122"/>
      <c r="D170" s="60"/>
      <c r="E170" s="60"/>
      <c r="F170" s="60"/>
      <c r="G170" s="60"/>
      <c r="H170" s="146"/>
      <c r="I170" s="146" t="s">
        <v>382</v>
      </c>
      <c r="J170" s="146"/>
      <c r="K170" s="146"/>
      <c r="L170" s="10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255"/>
      <c r="X170" s="234">
        <f t="shared" si="10"/>
        <v>0</v>
      </c>
    </row>
    <row r="171" spans="1:24" ht="15.75" outlineLevel="1" thickBot="1" x14ac:dyDescent="0.3">
      <c r="A171" s="57" t="s">
        <v>126</v>
      </c>
      <c r="B171" s="124" t="s">
        <v>508</v>
      </c>
      <c r="C171" s="124"/>
      <c r="D171" s="37"/>
      <c r="E171" s="37"/>
      <c r="F171" s="37"/>
      <c r="G171" s="37"/>
      <c r="H171" s="144"/>
      <c r="I171" s="144" t="s">
        <v>382</v>
      </c>
      <c r="J171" s="144"/>
      <c r="K171" s="144"/>
      <c r="L171" s="25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257"/>
      <c r="X171" s="235">
        <f t="shared" si="10"/>
        <v>0</v>
      </c>
    </row>
    <row r="172" spans="1:24" outlineLevel="1" x14ac:dyDescent="0.25">
      <c r="A172" s="54" t="s">
        <v>190</v>
      </c>
      <c r="B172" s="123" t="s">
        <v>509</v>
      </c>
      <c r="C172" s="123"/>
      <c r="D172" s="60"/>
      <c r="E172" s="60"/>
      <c r="F172" s="60">
        <v>1</v>
      </c>
      <c r="G172" s="60"/>
      <c r="H172" s="154"/>
      <c r="I172" s="154" t="s">
        <v>382</v>
      </c>
      <c r="J172" s="154"/>
      <c r="K172" s="154"/>
      <c r="L172" s="28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254"/>
      <c r="X172" s="234">
        <f t="shared" si="10"/>
        <v>0</v>
      </c>
    </row>
    <row r="173" spans="1:24" outlineLevel="1" x14ac:dyDescent="0.25">
      <c r="A173" s="54" t="s">
        <v>190</v>
      </c>
      <c r="B173" s="122" t="s">
        <v>510</v>
      </c>
      <c r="C173" s="122"/>
      <c r="D173" s="60"/>
      <c r="E173" s="60"/>
      <c r="F173" s="60"/>
      <c r="G173" s="60"/>
      <c r="H173" s="146"/>
      <c r="I173" s="146" t="s">
        <v>382</v>
      </c>
      <c r="J173" s="146"/>
      <c r="K173" s="146"/>
      <c r="L173" s="10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255"/>
      <c r="X173" s="234">
        <f t="shared" si="10"/>
        <v>0</v>
      </c>
    </row>
    <row r="174" spans="1:24" outlineLevel="2" x14ac:dyDescent="0.25">
      <c r="A174" s="54" t="s">
        <v>190</v>
      </c>
      <c r="B174" s="122" t="s">
        <v>511</v>
      </c>
      <c r="C174" s="122"/>
      <c r="D174" s="60"/>
      <c r="E174" s="60"/>
      <c r="F174" s="60"/>
      <c r="G174" s="60"/>
      <c r="H174" s="146"/>
      <c r="I174" s="146" t="s">
        <v>382</v>
      </c>
      <c r="J174" s="146"/>
      <c r="K174" s="146"/>
      <c r="L174" s="289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290"/>
      <c r="X174" s="234">
        <f t="shared" si="10"/>
        <v>0</v>
      </c>
    </row>
    <row r="175" spans="1:24" outlineLevel="2" x14ac:dyDescent="0.25">
      <c r="A175" s="54" t="s">
        <v>190</v>
      </c>
      <c r="B175" s="122" t="s">
        <v>512</v>
      </c>
      <c r="C175" s="122"/>
      <c r="D175" s="60"/>
      <c r="E175" s="60"/>
      <c r="F175" s="60"/>
      <c r="G175" s="60"/>
      <c r="H175" s="146"/>
      <c r="I175" s="146" t="s">
        <v>382</v>
      </c>
      <c r="J175" s="146"/>
      <c r="K175" s="146"/>
      <c r="L175" s="289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290"/>
      <c r="X175" s="234">
        <f t="shared" si="10"/>
        <v>0</v>
      </c>
    </row>
    <row r="176" spans="1:24" outlineLevel="1" x14ac:dyDescent="0.25">
      <c r="A176" s="54" t="s">
        <v>190</v>
      </c>
      <c r="B176" s="122" t="s">
        <v>513</v>
      </c>
      <c r="C176" s="122"/>
      <c r="D176" s="60"/>
      <c r="E176" s="60"/>
      <c r="F176" s="60"/>
      <c r="G176" s="60"/>
      <c r="H176" s="146"/>
      <c r="I176" s="146" t="s">
        <v>382</v>
      </c>
      <c r="J176" s="146"/>
      <c r="K176" s="146"/>
      <c r="L176" s="291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255"/>
      <c r="X176" s="234">
        <f t="shared" si="10"/>
        <v>0</v>
      </c>
    </row>
    <row r="177" spans="1:24" outlineLevel="1" x14ac:dyDescent="0.25">
      <c r="A177" s="54" t="s">
        <v>190</v>
      </c>
      <c r="B177" s="122" t="s">
        <v>513</v>
      </c>
      <c r="C177" s="122" t="s">
        <v>88</v>
      </c>
      <c r="D177" s="60"/>
      <c r="E177" s="60"/>
      <c r="F177" s="60"/>
      <c r="G177" s="60"/>
      <c r="H177" s="146"/>
      <c r="I177" s="146" t="s">
        <v>382</v>
      </c>
      <c r="J177" s="146"/>
      <c r="K177" s="146"/>
      <c r="L177" s="291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255"/>
      <c r="X177" s="234">
        <v>0</v>
      </c>
    </row>
    <row r="178" spans="1:24" outlineLevel="1" x14ac:dyDescent="0.25">
      <c r="A178" s="54" t="s">
        <v>190</v>
      </c>
      <c r="B178" s="122" t="s">
        <v>514</v>
      </c>
      <c r="C178" s="122"/>
      <c r="D178" s="60"/>
      <c r="E178" s="60"/>
      <c r="F178" s="60"/>
      <c r="G178" s="60"/>
      <c r="H178" s="146"/>
      <c r="I178" s="146" t="s">
        <v>382</v>
      </c>
      <c r="J178" s="146"/>
      <c r="K178" s="146"/>
      <c r="L178" s="291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255"/>
      <c r="X178" s="234">
        <f t="shared" ref="X178:X186" si="11">SUM(L178:W178)</f>
        <v>0</v>
      </c>
    </row>
    <row r="179" spans="1:24" outlineLevel="2" x14ac:dyDescent="0.25">
      <c r="A179" s="54" t="s">
        <v>190</v>
      </c>
      <c r="B179" s="122" t="s">
        <v>515</v>
      </c>
      <c r="C179" s="122"/>
      <c r="D179" s="60"/>
      <c r="E179" s="60"/>
      <c r="F179" s="60"/>
      <c r="G179" s="60"/>
      <c r="H179" s="146"/>
      <c r="I179" s="146" t="s">
        <v>382</v>
      </c>
      <c r="J179" s="146"/>
      <c r="K179" s="146"/>
      <c r="L179" s="289"/>
      <c r="M179" s="153"/>
      <c r="N179" s="153"/>
      <c r="O179" s="153"/>
      <c r="P179" s="153"/>
      <c r="Q179" s="153"/>
      <c r="R179" s="153"/>
      <c r="S179" s="153"/>
      <c r="T179" s="153"/>
      <c r="U179" s="153"/>
      <c r="V179" s="153"/>
      <c r="W179" s="290"/>
      <c r="X179" s="234">
        <f t="shared" si="11"/>
        <v>0</v>
      </c>
    </row>
    <row r="180" spans="1:24" outlineLevel="2" x14ac:dyDescent="0.25">
      <c r="A180" s="54" t="s">
        <v>190</v>
      </c>
      <c r="B180" s="122" t="s">
        <v>516</v>
      </c>
      <c r="C180" s="122"/>
      <c r="D180" s="60"/>
      <c r="E180" s="60"/>
      <c r="F180" s="60"/>
      <c r="G180" s="60"/>
      <c r="H180" s="146"/>
      <c r="I180" s="146" t="s">
        <v>382</v>
      </c>
      <c r="J180" s="146"/>
      <c r="K180" s="146"/>
      <c r="L180" s="289"/>
      <c r="M180" s="153"/>
      <c r="N180" s="153"/>
      <c r="O180" s="153"/>
      <c r="P180" s="153"/>
      <c r="Q180" s="153"/>
      <c r="R180" s="153"/>
      <c r="S180" s="153"/>
      <c r="T180" s="153"/>
      <c r="U180" s="153"/>
      <c r="V180" s="153"/>
      <c r="W180" s="290"/>
      <c r="X180" s="234">
        <f t="shared" si="11"/>
        <v>0</v>
      </c>
    </row>
    <row r="181" spans="1:24" outlineLevel="1" x14ac:dyDescent="0.25">
      <c r="A181" s="54" t="s">
        <v>190</v>
      </c>
      <c r="B181" s="122" t="s">
        <v>517</v>
      </c>
      <c r="C181" s="122"/>
      <c r="D181" s="60"/>
      <c r="E181" s="60"/>
      <c r="F181" s="60">
        <v>1</v>
      </c>
      <c r="G181" s="60"/>
      <c r="H181" s="146"/>
      <c r="I181" s="146" t="s">
        <v>382</v>
      </c>
      <c r="J181" s="146"/>
      <c r="K181" s="146"/>
      <c r="L181" s="291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255"/>
      <c r="X181" s="234">
        <f t="shared" si="11"/>
        <v>0</v>
      </c>
    </row>
    <row r="182" spans="1:24" outlineLevel="2" x14ac:dyDescent="0.25">
      <c r="A182" s="54" t="s">
        <v>190</v>
      </c>
      <c r="B182" s="122" t="s">
        <v>518</v>
      </c>
      <c r="C182" s="122"/>
      <c r="D182" s="60"/>
      <c r="E182" s="60"/>
      <c r="F182" s="60"/>
      <c r="G182" s="60"/>
      <c r="H182" s="146"/>
      <c r="I182" s="146" t="s">
        <v>382</v>
      </c>
      <c r="J182" s="146"/>
      <c r="K182" s="146"/>
      <c r="L182" s="289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290"/>
      <c r="X182" s="234">
        <f t="shared" si="11"/>
        <v>0</v>
      </c>
    </row>
    <row r="183" spans="1:24" outlineLevel="2" x14ac:dyDescent="0.25">
      <c r="A183" s="54" t="s">
        <v>190</v>
      </c>
      <c r="B183" s="122" t="s">
        <v>519</v>
      </c>
      <c r="C183" s="122"/>
      <c r="D183" s="60"/>
      <c r="E183" s="60"/>
      <c r="F183" s="60"/>
      <c r="G183" s="60"/>
      <c r="H183" s="146"/>
      <c r="I183" s="146" t="s">
        <v>382</v>
      </c>
      <c r="J183" s="146"/>
      <c r="K183" s="146"/>
      <c r="L183" s="289"/>
      <c r="M183" s="153"/>
      <c r="N183" s="153"/>
      <c r="O183" s="153"/>
      <c r="P183" s="153"/>
      <c r="Q183" s="153"/>
      <c r="R183" s="153"/>
      <c r="S183" s="153"/>
      <c r="T183" s="153"/>
      <c r="U183" s="153"/>
      <c r="V183" s="153"/>
      <c r="W183" s="290"/>
      <c r="X183" s="234">
        <f t="shared" si="11"/>
        <v>0</v>
      </c>
    </row>
    <row r="184" spans="1:24" outlineLevel="1" x14ac:dyDescent="0.25">
      <c r="A184" s="54" t="s">
        <v>190</v>
      </c>
      <c r="B184" s="122" t="s">
        <v>520</v>
      </c>
      <c r="C184" s="122"/>
      <c r="D184" s="60"/>
      <c r="E184" s="60"/>
      <c r="F184" s="60"/>
      <c r="G184" s="60"/>
      <c r="H184" s="146"/>
      <c r="I184" s="146" t="s">
        <v>382</v>
      </c>
      <c r="J184" s="146"/>
      <c r="K184" s="146"/>
      <c r="L184" s="10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255"/>
      <c r="X184" s="234">
        <f t="shared" si="11"/>
        <v>0</v>
      </c>
    </row>
    <row r="185" spans="1:24" ht="25.5" outlineLevel="1" x14ac:dyDescent="0.25">
      <c r="A185" s="54" t="s">
        <v>190</v>
      </c>
      <c r="B185" s="122" t="s">
        <v>521</v>
      </c>
      <c r="C185" s="122"/>
      <c r="D185" s="60"/>
      <c r="E185" s="60"/>
      <c r="F185" s="60"/>
      <c r="G185" s="60"/>
      <c r="H185" s="146"/>
      <c r="I185" s="146" t="s">
        <v>382</v>
      </c>
      <c r="J185" s="146"/>
      <c r="K185" s="146"/>
      <c r="L185" s="10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255"/>
      <c r="X185" s="234">
        <f t="shared" si="11"/>
        <v>0</v>
      </c>
    </row>
    <row r="186" spans="1:24" ht="15.75" outlineLevel="1" thickBot="1" x14ac:dyDescent="0.3">
      <c r="A186" s="54" t="s">
        <v>190</v>
      </c>
      <c r="B186" s="152" t="s">
        <v>522</v>
      </c>
      <c r="C186" s="152"/>
      <c r="D186" s="46"/>
      <c r="E186" s="46"/>
      <c r="F186" s="46"/>
      <c r="G186" s="46"/>
      <c r="H186" s="135"/>
      <c r="I186" s="135" t="s">
        <v>382</v>
      </c>
      <c r="J186" s="135"/>
      <c r="K186" s="135"/>
      <c r="L186" s="28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286"/>
      <c r="X186" s="237">
        <f t="shared" si="11"/>
        <v>0</v>
      </c>
    </row>
    <row r="187" spans="1:24" ht="15.75" thickBot="1" x14ac:dyDescent="0.3">
      <c r="A187" s="760" t="s">
        <v>523</v>
      </c>
      <c r="B187" s="761"/>
      <c r="C187" s="761"/>
      <c r="D187" s="22">
        <v>0</v>
      </c>
      <c r="E187" s="22">
        <v>6</v>
      </c>
      <c r="F187" s="22">
        <v>5</v>
      </c>
      <c r="G187" s="22">
        <v>2</v>
      </c>
      <c r="H187" s="22">
        <v>2</v>
      </c>
      <c r="I187" s="22">
        <v>5</v>
      </c>
      <c r="J187" s="22">
        <v>1</v>
      </c>
      <c r="K187" s="22">
        <v>1</v>
      </c>
      <c r="L187" s="287">
        <f t="shared" ref="L187:X187" si="12">SUM(L148:L186)</f>
        <v>0</v>
      </c>
      <c r="M187" s="134">
        <f t="shared" si="12"/>
        <v>0</v>
      </c>
      <c r="N187" s="134">
        <f t="shared" si="12"/>
        <v>0</v>
      </c>
      <c r="O187" s="134">
        <f t="shared" si="12"/>
        <v>0</v>
      </c>
      <c r="P187" s="134">
        <f t="shared" si="12"/>
        <v>0</v>
      </c>
      <c r="Q187" s="134">
        <f t="shared" si="12"/>
        <v>0</v>
      </c>
      <c r="R187" s="134">
        <f t="shared" si="12"/>
        <v>0</v>
      </c>
      <c r="S187" s="134">
        <f t="shared" si="12"/>
        <v>0</v>
      </c>
      <c r="T187" s="134">
        <f t="shared" si="12"/>
        <v>0</v>
      </c>
      <c r="U187" s="134">
        <f t="shared" si="12"/>
        <v>0</v>
      </c>
      <c r="V187" s="134">
        <f t="shared" si="12"/>
        <v>0</v>
      </c>
      <c r="W187" s="288">
        <f t="shared" si="12"/>
        <v>0</v>
      </c>
      <c r="X187" s="63">
        <f t="shared" si="12"/>
        <v>0</v>
      </c>
    </row>
    <row r="188" spans="1:24" ht="25.5" outlineLevel="1" x14ac:dyDescent="0.25">
      <c r="A188" s="62" t="s">
        <v>218</v>
      </c>
      <c r="B188" s="119" t="s">
        <v>524</v>
      </c>
      <c r="C188" s="119"/>
      <c r="D188" s="33"/>
      <c r="E188" s="33"/>
      <c r="F188" s="33"/>
      <c r="G188" s="33"/>
      <c r="H188" s="148"/>
      <c r="I188" s="148" t="s">
        <v>382</v>
      </c>
      <c r="J188" s="148" t="s">
        <v>382</v>
      </c>
      <c r="K188" s="148" t="s">
        <v>382</v>
      </c>
      <c r="L188" s="258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259"/>
      <c r="X188" s="236">
        <f t="shared" ref="X188:X197" si="13">SUM(L188:W188)</f>
        <v>0</v>
      </c>
    </row>
    <row r="189" spans="1:24" ht="25.5" outlineLevel="1" x14ac:dyDescent="0.25">
      <c r="A189" s="54" t="s">
        <v>218</v>
      </c>
      <c r="B189" s="122" t="s">
        <v>525</v>
      </c>
      <c r="C189" s="122"/>
      <c r="D189" s="60"/>
      <c r="E189" s="60"/>
      <c r="F189" s="60"/>
      <c r="G189" s="60"/>
      <c r="H189" s="146"/>
      <c r="I189" s="146" t="s">
        <v>382</v>
      </c>
      <c r="J189" s="146" t="s">
        <v>382</v>
      </c>
      <c r="K189" s="146" t="s">
        <v>382</v>
      </c>
      <c r="L189" s="10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255"/>
      <c r="X189" s="234">
        <f t="shared" si="13"/>
        <v>0</v>
      </c>
    </row>
    <row r="190" spans="1:24" ht="25.5" outlineLevel="1" x14ac:dyDescent="0.25">
      <c r="A190" s="54" t="s">
        <v>218</v>
      </c>
      <c r="B190" s="122" t="s">
        <v>526</v>
      </c>
      <c r="C190" s="122"/>
      <c r="D190" s="60"/>
      <c r="E190" s="60"/>
      <c r="F190" s="60"/>
      <c r="G190" s="60"/>
      <c r="H190" s="146"/>
      <c r="I190" s="146" t="s">
        <v>382</v>
      </c>
      <c r="J190" s="146" t="s">
        <v>382</v>
      </c>
      <c r="K190" s="146" t="s">
        <v>382</v>
      </c>
      <c r="L190" s="10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255"/>
      <c r="X190" s="234">
        <f t="shared" si="13"/>
        <v>0</v>
      </c>
    </row>
    <row r="191" spans="1:24" ht="25.5" outlineLevel="1" x14ac:dyDescent="0.25">
      <c r="A191" s="54" t="s">
        <v>218</v>
      </c>
      <c r="B191" s="122" t="s">
        <v>527</v>
      </c>
      <c r="C191" s="122"/>
      <c r="D191" s="60"/>
      <c r="E191" s="60"/>
      <c r="F191" s="60"/>
      <c r="G191" s="60"/>
      <c r="H191" s="146"/>
      <c r="I191" s="146" t="s">
        <v>382</v>
      </c>
      <c r="J191" s="146" t="s">
        <v>382</v>
      </c>
      <c r="K191" s="146" t="s">
        <v>382</v>
      </c>
      <c r="L191" s="10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255"/>
      <c r="X191" s="234">
        <f t="shared" si="13"/>
        <v>0</v>
      </c>
    </row>
    <row r="192" spans="1:24" ht="25.5" outlineLevel="1" x14ac:dyDescent="0.25">
      <c r="A192" s="54" t="s">
        <v>218</v>
      </c>
      <c r="B192" s="122" t="s">
        <v>528</v>
      </c>
      <c r="C192" s="122"/>
      <c r="D192" s="60"/>
      <c r="E192" s="60"/>
      <c r="F192" s="60"/>
      <c r="G192" s="60"/>
      <c r="H192" s="146"/>
      <c r="I192" s="146" t="s">
        <v>382</v>
      </c>
      <c r="J192" s="146" t="s">
        <v>382</v>
      </c>
      <c r="K192" s="146" t="s">
        <v>382</v>
      </c>
      <c r="L192" s="10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255"/>
      <c r="X192" s="234">
        <f t="shared" si="13"/>
        <v>0</v>
      </c>
    </row>
    <row r="193" spans="1:24" ht="25.5" outlineLevel="1" x14ac:dyDescent="0.25">
      <c r="A193" s="54" t="s">
        <v>218</v>
      </c>
      <c r="B193" s="122" t="s">
        <v>529</v>
      </c>
      <c r="C193" s="122"/>
      <c r="D193" s="60"/>
      <c r="E193" s="60"/>
      <c r="F193" s="60"/>
      <c r="G193" s="60"/>
      <c r="H193" s="146"/>
      <c r="I193" s="146" t="s">
        <v>382</v>
      </c>
      <c r="J193" s="146" t="s">
        <v>382</v>
      </c>
      <c r="K193" s="146" t="s">
        <v>382</v>
      </c>
      <c r="L193" s="10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255"/>
      <c r="X193" s="234">
        <f t="shared" si="13"/>
        <v>0</v>
      </c>
    </row>
    <row r="194" spans="1:24" ht="25.5" outlineLevel="1" x14ac:dyDescent="0.25">
      <c r="A194" s="54" t="s">
        <v>218</v>
      </c>
      <c r="B194" s="122" t="s">
        <v>530</v>
      </c>
      <c r="C194" s="122"/>
      <c r="D194" s="60"/>
      <c r="E194" s="60"/>
      <c r="F194" s="60"/>
      <c r="G194" s="60"/>
      <c r="H194" s="146"/>
      <c r="I194" s="146" t="s">
        <v>382</v>
      </c>
      <c r="J194" s="146" t="s">
        <v>382</v>
      </c>
      <c r="K194" s="146" t="s">
        <v>382</v>
      </c>
      <c r="L194" s="10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255"/>
      <c r="X194" s="234">
        <f t="shared" si="13"/>
        <v>0</v>
      </c>
    </row>
    <row r="195" spans="1:24" ht="25.5" outlineLevel="1" x14ac:dyDescent="0.25">
      <c r="A195" s="54" t="s">
        <v>218</v>
      </c>
      <c r="B195" s="122" t="s">
        <v>531</v>
      </c>
      <c r="C195" s="122"/>
      <c r="D195" s="60"/>
      <c r="E195" s="60"/>
      <c r="F195" s="60"/>
      <c r="G195" s="60"/>
      <c r="H195" s="146"/>
      <c r="I195" s="146" t="s">
        <v>382</v>
      </c>
      <c r="J195" s="146" t="s">
        <v>382</v>
      </c>
      <c r="K195" s="146" t="s">
        <v>382</v>
      </c>
      <c r="L195" s="10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255"/>
      <c r="X195" s="234">
        <f t="shared" si="13"/>
        <v>0</v>
      </c>
    </row>
    <row r="196" spans="1:24" ht="25.5" outlineLevel="1" x14ac:dyDescent="0.25">
      <c r="A196" s="54" t="s">
        <v>218</v>
      </c>
      <c r="B196" s="122" t="s">
        <v>532</v>
      </c>
      <c r="C196" s="122"/>
      <c r="D196" s="46"/>
      <c r="E196" s="46"/>
      <c r="F196" s="46"/>
      <c r="G196" s="46"/>
      <c r="H196" s="135"/>
      <c r="I196" s="135" t="s">
        <v>382</v>
      </c>
      <c r="J196" s="135" t="s">
        <v>382</v>
      </c>
      <c r="K196" s="135" t="s">
        <v>382</v>
      </c>
      <c r="L196" s="28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286"/>
      <c r="X196" s="234">
        <f t="shared" si="13"/>
        <v>0</v>
      </c>
    </row>
    <row r="197" spans="1:24" ht="26.25" outlineLevel="1" thickBot="1" x14ac:dyDescent="0.3">
      <c r="A197" s="54" t="s">
        <v>218</v>
      </c>
      <c r="B197" s="122" t="s">
        <v>533</v>
      </c>
      <c r="C197" s="122"/>
      <c r="D197" s="46"/>
      <c r="E197" s="46"/>
      <c r="F197" s="46"/>
      <c r="G197" s="46"/>
      <c r="H197" s="135"/>
      <c r="I197" s="135" t="s">
        <v>382</v>
      </c>
      <c r="J197" s="135" t="s">
        <v>382</v>
      </c>
      <c r="K197" s="135" t="s">
        <v>382</v>
      </c>
      <c r="L197" s="28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286"/>
      <c r="X197" s="234">
        <f t="shared" si="13"/>
        <v>0</v>
      </c>
    </row>
    <row r="198" spans="1:24" ht="15.75" thickBot="1" x14ac:dyDescent="0.3">
      <c r="A198" s="760" t="s">
        <v>534</v>
      </c>
      <c r="B198" s="761"/>
      <c r="C198" s="761"/>
      <c r="D198" s="149">
        <v>0</v>
      </c>
      <c r="E198" s="149">
        <v>0</v>
      </c>
      <c r="F198" s="149">
        <v>0</v>
      </c>
      <c r="G198" s="149">
        <v>0</v>
      </c>
      <c r="H198" s="149">
        <v>0</v>
      </c>
      <c r="I198" s="149">
        <v>0</v>
      </c>
      <c r="J198" s="149">
        <v>0</v>
      </c>
      <c r="K198" s="149">
        <v>0</v>
      </c>
      <c r="L198" s="277">
        <f t="shared" ref="L198:X198" si="14">SUM(L188:L197)</f>
        <v>0</v>
      </c>
      <c r="M198" s="150">
        <f t="shared" si="14"/>
        <v>0</v>
      </c>
      <c r="N198" s="150">
        <f t="shared" si="14"/>
        <v>0</v>
      </c>
      <c r="O198" s="150">
        <f t="shared" si="14"/>
        <v>0</v>
      </c>
      <c r="P198" s="150">
        <f t="shared" si="14"/>
        <v>0</v>
      </c>
      <c r="Q198" s="150">
        <f t="shared" si="14"/>
        <v>0</v>
      </c>
      <c r="R198" s="150">
        <f t="shared" si="14"/>
        <v>0</v>
      </c>
      <c r="S198" s="150">
        <f t="shared" si="14"/>
        <v>0</v>
      </c>
      <c r="T198" s="150">
        <f t="shared" si="14"/>
        <v>0</v>
      </c>
      <c r="U198" s="150">
        <f t="shared" si="14"/>
        <v>0</v>
      </c>
      <c r="V198" s="150">
        <f t="shared" si="14"/>
        <v>0</v>
      </c>
      <c r="W198" s="278">
        <f t="shared" si="14"/>
        <v>0</v>
      </c>
      <c r="X198" s="151">
        <f t="shared" si="14"/>
        <v>0</v>
      </c>
    </row>
    <row r="199" spans="1:24" outlineLevel="1" x14ac:dyDescent="0.25">
      <c r="A199" s="62" t="s">
        <v>236</v>
      </c>
      <c r="B199" s="119" t="s">
        <v>237</v>
      </c>
      <c r="C199" s="119"/>
      <c r="D199" s="33"/>
      <c r="E199" s="33"/>
      <c r="F199" s="33"/>
      <c r="G199" s="33"/>
      <c r="H199" s="148"/>
      <c r="I199" s="148"/>
      <c r="J199" s="148"/>
      <c r="K199" s="148"/>
      <c r="L199" s="258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259"/>
      <c r="X199" s="236">
        <f t="shared" ref="X199:X222" si="15">SUM(L199:W199)</f>
        <v>0</v>
      </c>
    </row>
    <row r="200" spans="1:24" outlineLevel="1" x14ac:dyDescent="0.25">
      <c r="A200" s="54" t="s">
        <v>236</v>
      </c>
      <c r="B200" s="122" t="s">
        <v>535</v>
      </c>
      <c r="C200" s="122"/>
      <c r="D200" s="60"/>
      <c r="E200" s="60"/>
      <c r="F200" s="60"/>
      <c r="G200" s="60"/>
      <c r="H200" s="146"/>
      <c r="I200" s="146"/>
      <c r="J200" s="146"/>
      <c r="K200" s="146"/>
      <c r="L200" s="10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255"/>
      <c r="X200" s="234">
        <f t="shared" si="15"/>
        <v>0</v>
      </c>
    </row>
    <row r="201" spans="1:24" outlineLevel="1" x14ac:dyDescent="0.25">
      <c r="A201" s="54" t="s">
        <v>236</v>
      </c>
      <c r="B201" s="122" t="s">
        <v>536</v>
      </c>
      <c r="C201" s="122"/>
      <c r="D201" s="60"/>
      <c r="E201" s="60"/>
      <c r="F201" s="60"/>
      <c r="G201" s="60"/>
      <c r="H201" s="146"/>
      <c r="I201" s="146"/>
      <c r="J201" s="146"/>
      <c r="K201" s="146"/>
      <c r="L201" s="10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255"/>
      <c r="X201" s="234">
        <f t="shared" si="15"/>
        <v>0</v>
      </c>
    </row>
    <row r="202" spans="1:24" ht="15.75" outlineLevel="1" thickBot="1" x14ac:dyDescent="0.3">
      <c r="A202" s="57" t="s">
        <v>236</v>
      </c>
      <c r="B202" s="124" t="s">
        <v>238</v>
      </c>
      <c r="C202" s="124"/>
      <c r="D202" s="37"/>
      <c r="E202" s="37"/>
      <c r="F202" s="37"/>
      <c r="G202" s="37"/>
      <c r="H202" s="144"/>
      <c r="I202" s="144"/>
      <c r="J202" s="144"/>
      <c r="K202" s="144"/>
      <c r="L202" s="25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257"/>
      <c r="X202" s="235">
        <f t="shared" si="15"/>
        <v>0</v>
      </c>
    </row>
    <row r="203" spans="1:24" outlineLevel="1" x14ac:dyDescent="0.25">
      <c r="A203" s="62" t="s">
        <v>537</v>
      </c>
      <c r="B203" s="119" t="s">
        <v>538</v>
      </c>
      <c r="C203" s="119"/>
      <c r="D203" s="33"/>
      <c r="E203" s="33"/>
      <c r="F203" s="33"/>
      <c r="G203" s="33"/>
      <c r="H203" s="148"/>
      <c r="I203" s="148"/>
      <c r="J203" s="148"/>
      <c r="K203" s="148"/>
      <c r="L203" s="258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259"/>
      <c r="X203" s="236">
        <f t="shared" si="15"/>
        <v>0</v>
      </c>
    </row>
    <row r="204" spans="1:24" outlineLevel="1" x14ac:dyDescent="0.25">
      <c r="A204" s="54" t="s">
        <v>537</v>
      </c>
      <c r="B204" s="122" t="s">
        <v>539</v>
      </c>
      <c r="C204" s="122"/>
      <c r="D204" s="60"/>
      <c r="E204" s="60"/>
      <c r="F204" s="60"/>
      <c r="G204" s="60"/>
      <c r="H204" s="146"/>
      <c r="I204" s="146"/>
      <c r="J204" s="146"/>
      <c r="K204" s="146"/>
      <c r="L204" s="10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255"/>
      <c r="X204" s="234">
        <f t="shared" si="15"/>
        <v>0</v>
      </c>
    </row>
    <row r="205" spans="1:24" outlineLevel="1" x14ac:dyDescent="0.25">
      <c r="A205" s="54" t="s">
        <v>540</v>
      </c>
      <c r="B205" s="122" t="s">
        <v>541</v>
      </c>
      <c r="C205" s="122"/>
      <c r="D205" s="60"/>
      <c r="E205" s="60"/>
      <c r="F205" s="60"/>
      <c r="G205" s="60">
        <v>1</v>
      </c>
      <c r="H205" s="146"/>
      <c r="I205" s="146"/>
      <c r="J205" s="146"/>
      <c r="K205" s="146"/>
      <c r="L205" s="109"/>
      <c r="M205" s="59"/>
      <c r="N205" s="59"/>
      <c r="O205" s="59"/>
      <c r="P205" s="95"/>
      <c r="Q205" s="59"/>
      <c r="R205" s="59"/>
      <c r="S205" s="59"/>
      <c r="T205" s="59"/>
      <c r="U205" s="59"/>
      <c r="V205" s="59"/>
      <c r="W205" s="255"/>
      <c r="X205" s="234">
        <f t="shared" si="15"/>
        <v>0</v>
      </c>
    </row>
    <row r="206" spans="1:24" outlineLevel="1" x14ac:dyDescent="0.25">
      <c r="A206" s="54" t="s">
        <v>542</v>
      </c>
      <c r="B206" s="122" t="s">
        <v>543</v>
      </c>
      <c r="C206" s="122"/>
      <c r="D206" s="60"/>
      <c r="E206" s="60"/>
      <c r="F206" s="60"/>
      <c r="G206" s="60"/>
      <c r="H206" s="146"/>
      <c r="I206" s="146"/>
      <c r="J206" s="146"/>
      <c r="K206" s="146"/>
      <c r="L206" s="10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255"/>
      <c r="X206" s="234">
        <f t="shared" si="15"/>
        <v>0</v>
      </c>
    </row>
    <row r="207" spans="1:24" outlineLevel="1" x14ac:dyDescent="0.25">
      <c r="A207" s="54" t="s">
        <v>542</v>
      </c>
      <c r="B207" s="122" t="s">
        <v>544</v>
      </c>
      <c r="C207" s="122"/>
      <c r="D207" s="60"/>
      <c r="E207" s="60"/>
      <c r="F207" s="60"/>
      <c r="G207" s="60"/>
      <c r="H207" s="146"/>
      <c r="I207" s="146"/>
      <c r="J207" s="146"/>
      <c r="K207" s="146"/>
      <c r="L207" s="10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255"/>
      <c r="X207" s="234">
        <f t="shared" si="15"/>
        <v>0</v>
      </c>
    </row>
    <row r="208" spans="1:24" ht="15.75" outlineLevel="1" thickBot="1" x14ac:dyDescent="0.3">
      <c r="A208" s="57" t="s">
        <v>542</v>
      </c>
      <c r="B208" s="124" t="s">
        <v>545</v>
      </c>
      <c r="C208" s="124"/>
      <c r="D208" s="37"/>
      <c r="E208" s="37"/>
      <c r="F208" s="37"/>
      <c r="G208" s="37"/>
      <c r="H208" s="144"/>
      <c r="I208" s="144"/>
      <c r="J208" s="144"/>
      <c r="K208" s="144"/>
      <c r="L208" s="25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257"/>
      <c r="X208" s="235">
        <f t="shared" si="15"/>
        <v>0</v>
      </c>
    </row>
    <row r="209" spans="1:24" outlineLevel="1" x14ac:dyDescent="0.25">
      <c r="A209" s="62" t="s">
        <v>546</v>
      </c>
      <c r="B209" s="119" t="s">
        <v>547</v>
      </c>
      <c r="C209" s="119"/>
      <c r="D209" s="33"/>
      <c r="E209" s="33"/>
      <c r="F209" s="33"/>
      <c r="G209" s="33"/>
      <c r="H209" s="148"/>
      <c r="I209" s="148"/>
      <c r="J209" s="148"/>
      <c r="K209" s="148"/>
      <c r="L209" s="258"/>
      <c r="M209" s="32"/>
      <c r="N209" s="32"/>
      <c r="O209" s="32"/>
      <c r="P209" s="32"/>
      <c r="Q209" s="32"/>
      <c r="R209" s="32"/>
      <c r="S209" s="68"/>
      <c r="T209" s="32"/>
      <c r="U209" s="32"/>
      <c r="V209" s="32"/>
      <c r="W209" s="264"/>
      <c r="X209" s="236">
        <f t="shared" si="15"/>
        <v>0</v>
      </c>
    </row>
    <row r="210" spans="1:24" outlineLevel="1" x14ac:dyDescent="0.25">
      <c r="A210" s="54" t="s">
        <v>546</v>
      </c>
      <c r="B210" s="122" t="s">
        <v>548</v>
      </c>
      <c r="C210" s="122"/>
      <c r="D210" s="60"/>
      <c r="E210" s="60"/>
      <c r="F210" s="60"/>
      <c r="G210" s="60"/>
      <c r="H210" s="146"/>
      <c r="I210" s="146"/>
      <c r="J210" s="146"/>
      <c r="K210" s="146"/>
      <c r="L210" s="10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255"/>
      <c r="X210" s="234">
        <f t="shared" si="15"/>
        <v>0</v>
      </c>
    </row>
    <row r="211" spans="1:24" ht="15.75" outlineLevel="1" thickBot="1" x14ac:dyDescent="0.3">
      <c r="A211" s="57" t="s">
        <v>546</v>
      </c>
      <c r="B211" s="124" t="s">
        <v>549</v>
      </c>
      <c r="C211" s="124"/>
      <c r="D211" s="37"/>
      <c r="E211" s="37"/>
      <c r="F211" s="37"/>
      <c r="G211" s="37"/>
      <c r="H211" s="144"/>
      <c r="I211" s="144"/>
      <c r="J211" s="144"/>
      <c r="K211" s="144"/>
      <c r="L211" s="256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272"/>
      <c r="X211" s="235">
        <f t="shared" si="15"/>
        <v>0</v>
      </c>
    </row>
    <row r="212" spans="1:24" outlineLevel="1" x14ac:dyDescent="0.25">
      <c r="A212" s="62" t="s">
        <v>158</v>
      </c>
      <c r="B212" s="119" t="s">
        <v>550</v>
      </c>
      <c r="C212" s="119"/>
      <c r="D212" s="33"/>
      <c r="E212" s="33"/>
      <c r="F212" s="33"/>
      <c r="G212" s="33"/>
      <c r="H212" s="148"/>
      <c r="I212" s="148"/>
      <c r="J212" s="148"/>
      <c r="K212" s="148"/>
      <c r="L212" s="292"/>
      <c r="M212" s="32"/>
      <c r="N212" s="147"/>
      <c r="O212" s="32"/>
      <c r="P212" s="32"/>
      <c r="Q212" s="32"/>
      <c r="R212" s="32"/>
      <c r="S212" s="32"/>
      <c r="T212" s="32"/>
      <c r="U212" s="32"/>
      <c r="V212" s="32"/>
      <c r="W212" s="259"/>
      <c r="X212" s="236">
        <f t="shared" si="15"/>
        <v>0</v>
      </c>
    </row>
    <row r="213" spans="1:24" outlineLevel="1" x14ac:dyDescent="0.25">
      <c r="A213" s="61" t="s">
        <v>158</v>
      </c>
      <c r="B213" s="122" t="s">
        <v>551</v>
      </c>
      <c r="C213" s="122"/>
      <c r="D213" s="60"/>
      <c r="E213" s="60"/>
      <c r="F213" s="60"/>
      <c r="G213" s="60"/>
      <c r="H213" s="146"/>
      <c r="I213" s="146"/>
      <c r="J213" s="146"/>
      <c r="K213" s="146"/>
      <c r="L213" s="111"/>
      <c r="M213" s="66"/>
      <c r="N213" s="66"/>
      <c r="O213" s="59"/>
      <c r="P213" s="66"/>
      <c r="Q213" s="66"/>
      <c r="R213" s="66"/>
      <c r="S213" s="66"/>
      <c r="T213" s="66"/>
      <c r="U213" s="66"/>
      <c r="V213" s="66"/>
      <c r="W213" s="265"/>
      <c r="X213" s="234">
        <f t="shared" si="15"/>
        <v>0</v>
      </c>
    </row>
    <row r="214" spans="1:24" outlineLevel="1" x14ac:dyDescent="0.25">
      <c r="A214" s="61" t="s">
        <v>158</v>
      </c>
      <c r="B214" s="122" t="s">
        <v>552</v>
      </c>
      <c r="C214" s="122"/>
      <c r="D214" s="60"/>
      <c r="E214" s="60"/>
      <c r="F214" s="60"/>
      <c r="G214" s="60"/>
      <c r="H214" s="146"/>
      <c r="I214" s="146"/>
      <c r="J214" s="146"/>
      <c r="K214" s="146"/>
      <c r="L214" s="10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255"/>
      <c r="X214" s="234">
        <f t="shared" si="15"/>
        <v>0</v>
      </c>
    </row>
    <row r="215" spans="1:24" outlineLevel="1" x14ac:dyDescent="0.25">
      <c r="A215" s="61" t="s">
        <v>158</v>
      </c>
      <c r="B215" s="122" t="s">
        <v>553</v>
      </c>
      <c r="C215" s="122"/>
      <c r="D215" s="60"/>
      <c r="E215" s="60"/>
      <c r="F215" s="60"/>
      <c r="G215" s="60"/>
      <c r="H215" s="146"/>
      <c r="I215" s="146"/>
      <c r="J215" s="146"/>
      <c r="K215" s="146"/>
      <c r="L215" s="10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255"/>
      <c r="X215" s="234">
        <f t="shared" si="15"/>
        <v>0</v>
      </c>
    </row>
    <row r="216" spans="1:24" outlineLevel="1" x14ac:dyDescent="0.25">
      <c r="A216" s="61" t="s">
        <v>158</v>
      </c>
      <c r="B216" s="122" t="s">
        <v>554</v>
      </c>
      <c r="C216" s="122"/>
      <c r="D216" s="60"/>
      <c r="E216" s="60"/>
      <c r="F216" s="60"/>
      <c r="G216" s="60"/>
      <c r="H216" s="146"/>
      <c r="I216" s="146"/>
      <c r="J216" s="146"/>
      <c r="K216" s="146"/>
      <c r="L216" s="10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255"/>
      <c r="X216" s="234">
        <f t="shared" si="15"/>
        <v>0</v>
      </c>
    </row>
    <row r="217" spans="1:24" outlineLevel="1" x14ac:dyDescent="0.25">
      <c r="A217" s="61" t="s">
        <v>158</v>
      </c>
      <c r="B217" s="122" t="s">
        <v>96</v>
      </c>
      <c r="C217" s="122"/>
      <c r="D217" s="60"/>
      <c r="E217" s="60"/>
      <c r="F217" s="60"/>
      <c r="G217" s="60"/>
      <c r="H217" s="146"/>
      <c r="I217" s="146"/>
      <c r="J217" s="146"/>
      <c r="K217" s="146"/>
      <c r="L217" s="10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255"/>
      <c r="X217" s="234">
        <f t="shared" si="15"/>
        <v>0</v>
      </c>
    </row>
    <row r="218" spans="1:24" outlineLevel="1" x14ac:dyDescent="0.25">
      <c r="A218" s="61" t="s">
        <v>158</v>
      </c>
      <c r="B218" s="122" t="s">
        <v>555</v>
      </c>
      <c r="C218" s="122"/>
      <c r="D218" s="60"/>
      <c r="E218" s="60"/>
      <c r="F218" s="60"/>
      <c r="G218" s="60"/>
      <c r="H218" s="146"/>
      <c r="I218" s="146"/>
      <c r="J218" s="146"/>
      <c r="K218" s="146"/>
      <c r="L218" s="109"/>
      <c r="M218" s="59"/>
      <c r="N218" s="66"/>
      <c r="O218" s="59"/>
      <c r="P218" s="59"/>
      <c r="Q218" s="59"/>
      <c r="R218" s="59"/>
      <c r="S218" s="59"/>
      <c r="T218" s="59"/>
      <c r="U218" s="59"/>
      <c r="V218" s="59"/>
      <c r="W218" s="255"/>
      <c r="X218" s="234">
        <f t="shared" si="15"/>
        <v>0</v>
      </c>
    </row>
    <row r="219" spans="1:24" outlineLevel="1" x14ac:dyDescent="0.25">
      <c r="A219" s="61" t="s">
        <v>158</v>
      </c>
      <c r="B219" s="122" t="s">
        <v>169</v>
      </c>
      <c r="C219" s="122"/>
      <c r="D219" s="60"/>
      <c r="E219" s="60"/>
      <c r="F219" s="60"/>
      <c r="G219" s="60"/>
      <c r="H219" s="146"/>
      <c r="I219" s="146"/>
      <c r="J219" s="146"/>
      <c r="K219" s="146"/>
      <c r="L219" s="10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255"/>
      <c r="X219" s="234">
        <f t="shared" si="15"/>
        <v>0</v>
      </c>
    </row>
    <row r="220" spans="1:24" ht="15.75" outlineLevel="1" thickBot="1" x14ac:dyDescent="0.3">
      <c r="A220" s="145" t="s">
        <v>158</v>
      </c>
      <c r="B220" s="124" t="s">
        <v>170</v>
      </c>
      <c r="C220" s="124"/>
      <c r="D220" s="46"/>
      <c r="E220" s="46"/>
      <c r="F220" s="46"/>
      <c r="G220" s="46"/>
      <c r="H220" s="135"/>
      <c r="I220" s="135"/>
      <c r="J220" s="135"/>
      <c r="K220" s="135"/>
      <c r="L220" s="28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286"/>
      <c r="X220" s="237">
        <f t="shared" si="15"/>
        <v>0</v>
      </c>
    </row>
    <row r="221" spans="1:24" ht="15.75" outlineLevel="1" thickBot="1" x14ac:dyDescent="0.3">
      <c r="A221" s="145" t="s">
        <v>158</v>
      </c>
      <c r="B221" s="124" t="s">
        <v>556</v>
      </c>
      <c r="C221" s="124"/>
      <c r="D221" s="37"/>
      <c r="E221" s="37"/>
      <c r="F221" s="37"/>
      <c r="G221" s="37"/>
      <c r="H221" s="144"/>
      <c r="I221" s="144"/>
      <c r="J221" s="144"/>
      <c r="K221" s="144"/>
      <c r="L221" s="25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257"/>
      <c r="X221" s="235">
        <f t="shared" si="15"/>
        <v>0</v>
      </c>
    </row>
    <row r="222" spans="1:24" ht="15.75" outlineLevel="1" thickBot="1" x14ac:dyDescent="0.3">
      <c r="A222" s="143" t="s">
        <v>124</v>
      </c>
      <c r="B222" s="142" t="s">
        <v>125</v>
      </c>
      <c r="C222" s="142"/>
      <c r="D222" s="24"/>
      <c r="E222" s="24"/>
      <c r="F222" s="24"/>
      <c r="G222" s="24"/>
      <c r="H222" s="141"/>
      <c r="I222" s="141"/>
      <c r="J222" s="141"/>
      <c r="K222" s="141">
        <v>1</v>
      </c>
      <c r="L222" s="29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94"/>
      <c r="X222" s="239">
        <f t="shared" si="15"/>
        <v>0</v>
      </c>
    </row>
    <row r="223" spans="1:24" ht="15.75" thickBot="1" x14ac:dyDescent="0.3">
      <c r="A223" s="760" t="s">
        <v>557</v>
      </c>
      <c r="B223" s="761"/>
      <c r="C223" s="761"/>
      <c r="D223" s="138">
        <v>0</v>
      </c>
      <c r="E223" s="138">
        <v>0</v>
      </c>
      <c r="F223" s="138">
        <v>0</v>
      </c>
      <c r="G223" s="138">
        <v>1</v>
      </c>
      <c r="H223" s="138">
        <v>0</v>
      </c>
      <c r="I223" s="138">
        <v>0</v>
      </c>
      <c r="J223" s="138">
        <v>0</v>
      </c>
      <c r="K223" s="138">
        <v>1</v>
      </c>
      <c r="L223" s="295">
        <f t="shared" ref="L223:X223" si="16">SUM(L199:L222)</f>
        <v>0</v>
      </c>
      <c r="M223" s="139">
        <f t="shared" si="16"/>
        <v>0</v>
      </c>
      <c r="N223" s="139">
        <f t="shared" si="16"/>
        <v>0</v>
      </c>
      <c r="O223" s="139">
        <f t="shared" si="16"/>
        <v>0</v>
      </c>
      <c r="P223" s="139">
        <f t="shared" si="16"/>
        <v>0</v>
      </c>
      <c r="Q223" s="139">
        <f t="shared" si="16"/>
        <v>0</v>
      </c>
      <c r="R223" s="139">
        <f t="shared" si="16"/>
        <v>0</v>
      </c>
      <c r="S223" s="139">
        <f t="shared" si="16"/>
        <v>0</v>
      </c>
      <c r="T223" s="139">
        <f t="shared" si="16"/>
        <v>0</v>
      </c>
      <c r="U223" s="139">
        <f t="shared" si="16"/>
        <v>0</v>
      </c>
      <c r="V223" s="139">
        <f t="shared" si="16"/>
        <v>0</v>
      </c>
      <c r="W223" s="296">
        <f t="shared" si="16"/>
        <v>0</v>
      </c>
      <c r="X223" s="140">
        <f t="shared" si="16"/>
        <v>0</v>
      </c>
    </row>
    <row r="224" spans="1:24" outlineLevel="2" x14ac:dyDescent="0.25">
      <c r="A224" s="137" t="s">
        <v>558</v>
      </c>
      <c r="B224" s="136" t="s">
        <v>559</v>
      </c>
      <c r="C224" s="136"/>
      <c r="D224" s="46"/>
      <c r="E224" s="46"/>
      <c r="F224" s="46"/>
      <c r="G224" s="46"/>
      <c r="H224" s="135"/>
      <c r="I224" s="135"/>
      <c r="J224" s="135"/>
      <c r="K224" s="135"/>
      <c r="L224" s="28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286"/>
      <c r="X224" s="237">
        <f>SUM(L224:W224)</f>
        <v>0</v>
      </c>
    </row>
    <row r="225" spans="1:24" outlineLevel="2" x14ac:dyDescent="0.25">
      <c r="A225" s="137" t="s">
        <v>558</v>
      </c>
      <c r="B225" s="136" t="s">
        <v>560</v>
      </c>
      <c r="C225" s="136"/>
      <c r="D225" s="46"/>
      <c r="E225" s="46"/>
      <c r="F225" s="46"/>
      <c r="G225" s="46"/>
      <c r="H225" s="135"/>
      <c r="I225" s="135"/>
      <c r="J225" s="135"/>
      <c r="K225" s="135"/>
      <c r="L225" s="28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286"/>
      <c r="X225" s="237">
        <f>SUM(L225:W225)</f>
        <v>0</v>
      </c>
    </row>
    <row r="226" spans="1:24" ht="15.75" outlineLevel="2" thickBot="1" x14ac:dyDescent="0.3">
      <c r="A226" s="137" t="s">
        <v>558</v>
      </c>
      <c r="B226" s="136" t="s">
        <v>561</v>
      </c>
      <c r="C226" s="136"/>
      <c r="D226" s="46"/>
      <c r="E226" s="46"/>
      <c r="F226" s="46"/>
      <c r="G226" s="46"/>
      <c r="H226" s="135"/>
      <c r="I226" s="135"/>
      <c r="J226" s="135"/>
      <c r="K226" s="135"/>
      <c r="L226" s="28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286"/>
      <c r="X226" s="237">
        <f>SUM(L226:W226)</f>
        <v>0</v>
      </c>
    </row>
    <row r="227" spans="1:24" ht="15.75" outlineLevel="1" thickBot="1" x14ac:dyDescent="0.3">
      <c r="A227" s="767" t="s">
        <v>562</v>
      </c>
      <c r="B227" s="768"/>
      <c r="C227" s="768"/>
      <c r="D227" s="22">
        <v>0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87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297"/>
      <c r="X227" s="63">
        <f>SUM(X224:X226)</f>
        <v>0</v>
      </c>
    </row>
    <row r="228" spans="1:24" ht="15.75" outlineLevel="2" thickBot="1" x14ac:dyDescent="0.3">
      <c r="A228" s="131" t="s">
        <v>563</v>
      </c>
      <c r="B228" s="132" t="s">
        <v>564</v>
      </c>
      <c r="C228" s="132"/>
      <c r="D228" s="53"/>
      <c r="E228" s="53"/>
      <c r="F228" s="53"/>
      <c r="G228" s="53"/>
      <c r="H228" s="53"/>
      <c r="I228" s="53"/>
      <c r="J228" s="53"/>
      <c r="K228" s="53"/>
      <c r="L228" s="28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254"/>
      <c r="X228" s="238">
        <f>SUM(L228:W228)</f>
        <v>0</v>
      </c>
    </row>
    <row r="229" spans="1:24" ht="15.75" outlineLevel="1" thickBot="1" x14ac:dyDescent="0.3">
      <c r="A229" s="767" t="s">
        <v>565</v>
      </c>
      <c r="B229" s="768"/>
      <c r="C229" s="768"/>
      <c r="D229" s="129">
        <v>0</v>
      </c>
      <c r="E229" s="129">
        <v>0</v>
      </c>
      <c r="F229" s="129">
        <v>0</v>
      </c>
      <c r="G229" s="129">
        <v>0</v>
      </c>
      <c r="H229" s="129">
        <v>0</v>
      </c>
      <c r="I229" s="129">
        <v>0</v>
      </c>
      <c r="J229" s="129">
        <v>0</v>
      </c>
      <c r="K229" s="129">
        <v>0</v>
      </c>
      <c r="L229" s="298"/>
      <c r="M229" s="130"/>
      <c r="N229" s="130"/>
      <c r="O229" s="130"/>
      <c r="P229" s="130"/>
      <c r="Q229" s="130"/>
      <c r="R229" s="130"/>
      <c r="S229" s="130"/>
      <c r="T229" s="130"/>
      <c r="U229" s="130"/>
      <c r="V229" s="130"/>
      <c r="W229" s="299"/>
      <c r="X229" s="64">
        <f>SUM(X228)</f>
        <v>0</v>
      </c>
    </row>
    <row r="230" spans="1:24" outlineLevel="2" x14ac:dyDescent="0.25">
      <c r="A230"/>
      <c r="B230" s="131" t="s">
        <v>566</v>
      </c>
      <c r="C230" s="131"/>
      <c r="D230" s="53"/>
      <c r="E230" s="53"/>
      <c r="F230" s="53"/>
      <c r="G230" s="53"/>
      <c r="H230" s="53"/>
      <c r="I230" s="53"/>
      <c r="J230" s="53"/>
      <c r="K230" s="53"/>
      <c r="L230" s="28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254"/>
      <c r="X230" s="238">
        <f>SUM(L230:W230)</f>
        <v>0</v>
      </c>
    </row>
    <row r="231" spans="1:24" outlineLevel="2" x14ac:dyDescent="0.25">
      <c r="A231"/>
      <c r="B231" s="131" t="s">
        <v>567</v>
      </c>
      <c r="C231" s="131"/>
      <c r="D231" s="53"/>
      <c r="E231" s="53"/>
      <c r="F231" s="53"/>
      <c r="G231" s="53"/>
      <c r="H231" s="53"/>
      <c r="I231" s="53"/>
      <c r="J231" s="53"/>
      <c r="K231" s="53"/>
      <c r="L231" s="28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254"/>
      <c r="X231" s="238">
        <f>SUM(L231:W231)</f>
        <v>0</v>
      </c>
    </row>
    <row r="232" spans="1:24" outlineLevel="2" x14ac:dyDescent="0.25">
      <c r="A232"/>
      <c r="B232" s="131" t="s">
        <v>568</v>
      </c>
      <c r="C232" s="131"/>
      <c r="D232" s="53"/>
      <c r="E232" s="53"/>
      <c r="F232" s="53"/>
      <c r="G232" s="53"/>
      <c r="H232" s="53"/>
      <c r="I232" s="53"/>
      <c r="J232" s="53"/>
      <c r="K232" s="53"/>
      <c r="L232" s="28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254"/>
      <c r="X232" s="238">
        <f>SUM(L232:W232)</f>
        <v>0</v>
      </c>
    </row>
    <row r="233" spans="1:24" outlineLevel="2" x14ac:dyDescent="0.25">
      <c r="A233"/>
      <c r="B233" s="131" t="s">
        <v>569</v>
      </c>
      <c r="C233" s="131"/>
      <c r="D233" s="53"/>
      <c r="E233" s="53"/>
      <c r="F233" s="53"/>
      <c r="G233" s="53"/>
      <c r="H233" s="53"/>
      <c r="I233" s="53"/>
      <c r="J233" s="53"/>
      <c r="K233" s="53"/>
      <c r="L233" s="28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254"/>
      <c r="X233" s="238">
        <f>SUM(L233:W233)</f>
        <v>0</v>
      </c>
    </row>
    <row r="234" spans="1:24" ht="15.75" outlineLevel="2" thickBot="1" x14ac:dyDescent="0.3">
      <c r="A234"/>
      <c r="B234" s="131" t="s">
        <v>570</v>
      </c>
      <c r="C234" s="131"/>
      <c r="D234" s="53"/>
      <c r="E234" s="53"/>
      <c r="F234" s="53"/>
      <c r="G234" s="53"/>
      <c r="H234" s="53"/>
      <c r="I234" s="53"/>
      <c r="J234" s="53"/>
      <c r="K234" s="53"/>
      <c r="L234" s="28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254"/>
      <c r="X234" s="238">
        <f>SUM(L234:W234)</f>
        <v>0</v>
      </c>
    </row>
    <row r="235" spans="1:24" ht="15.75" outlineLevel="1" thickBot="1" x14ac:dyDescent="0.3">
      <c r="A235" s="767" t="s">
        <v>571</v>
      </c>
      <c r="B235" s="768"/>
      <c r="C235" s="768"/>
      <c r="D235" s="129">
        <v>0</v>
      </c>
      <c r="E235" s="129">
        <v>0</v>
      </c>
      <c r="F235" s="129">
        <v>0</v>
      </c>
      <c r="G235" s="129">
        <v>0</v>
      </c>
      <c r="H235" s="129">
        <v>0</v>
      </c>
      <c r="I235" s="129">
        <v>0</v>
      </c>
      <c r="J235" s="129">
        <v>0</v>
      </c>
      <c r="K235" s="129">
        <v>0</v>
      </c>
      <c r="L235" s="298"/>
      <c r="M235" s="130"/>
      <c r="N235" s="130"/>
      <c r="O235" s="130"/>
      <c r="P235" s="130"/>
      <c r="Q235" s="130"/>
      <c r="R235" s="130"/>
      <c r="S235" s="130"/>
      <c r="T235" s="130"/>
      <c r="U235" s="130"/>
      <c r="V235" s="130"/>
      <c r="W235" s="299"/>
      <c r="X235" s="64">
        <f>SUM(X230:X234)</f>
        <v>0</v>
      </c>
    </row>
    <row r="236" spans="1:24" outlineLevel="2" x14ac:dyDescent="0.25">
      <c r="A236"/>
      <c r="B236" s="131" t="s">
        <v>572</v>
      </c>
      <c r="C236" s="131"/>
      <c r="D236" s="53"/>
      <c r="E236" s="53"/>
      <c r="F236" s="53"/>
      <c r="G236" s="53"/>
      <c r="H236" s="53"/>
      <c r="I236" s="53"/>
      <c r="J236" s="53"/>
      <c r="K236" s="53"/>
      <c r="L236" s="28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254"/>
      <c r="X236" s="238">
        <f t="shared" ref="X236:X246" si="17">SUM(L236:W236)</f>
        <v>0</v>
      </c>
    </row>
    <row r="237" spans="1:24" outlineLevel="2" x14ac:dyDescent="0.25">
      <c r="A237"/>
      <c r="B237" s="131" t="s">
        <v>573</v>
      </c>
      <c r="C237" s="131"/>
      <c r="D237" s="53"/>
      <c r="E237" s="53"/>
      <c r="F237" s="53"/>
      <c r="G237" s="53"/>
      <c r="H237" s="53"/>
      <c r="I237" s="53"/>
      <c r="J237" s="53"/>
      <c r="K237" s="53"/>
      <c r="L237" s="28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254"/>
      <c r="X237" s="238">
        <f t="shared" si="17"/>
        <v>0</v>
      </c>
    </row>
    <row r="238" spans="1:24" outlineLevel="2" x14ac:dyDescent="0.25">
      <c r="A238"/>
      <c r="B238" s="131" t="s">
        <v>574</v>
      </c>
      <c r="C238" s="131"/>
      <c r="D238" s="53"/>
      <c r="E238" s="53"/>
      <c r="F238" s="53"/>
      <c r="G238" s="53"/>
      <c r="H238" s="53"/>
      <c r="I238" s="53"/>
      <c r="J238" s="53"/>
      <c r="K238" s="53"/>
      <c r="L238" s="28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254"/>
      <c r="X238" s="238">
        <f t="shared" si="17"/>
        <v>0</v>
      </c>
    </row>
    <row r="239" spans="1:24" outlineLevel="2" x14ac:dyDescent="0.25">
      <c r="A239"/>
      <c r="B239" s="131" t="s">
        <v>575</v>
      </c>
      <c r="C239" s="131"/>
      <c r="D239" s="53"/>
      <c r="E239" s="53"/>
      <c r="F239" s="53"/>
      <c r="G239" s="53"/>
      <c r="H239" s="53"/>
      <c r="I239" s="53"/>
      <c r="J239" s="53"/>
      <c r="K239" s="53"/>
      <c r="L239" s="28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254"/>
      <c r="X239" s="238">
        <f t="shared" si="17"/>
        <v>0</v>
      </c>
    </row>
    <row r="240" spans="1:24" outlineLevel="2" x14ac:dyDescent="0.25">
      <c r="A240"/>
      <c r="B240" s="131" t="s">
        <v>576</v>
      </c>
      <c r="C240" s="131"/>
      <c r="D240" s="53"/>
      <c r="E240" s="53"/>
      <c r="F240" s="53"/>
      <c r="G240" s="53"/>
      <c r="H240" s="53"/>
      <c r="I240" s="53"/>
      <c r="J240" s="53"/>
      <c r="K240" s="53"/>
      <c r="L240" s="28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254"/>
      <c r="X240" s="238">
        <f t="shared" si="17"/>
        <v>0</v>
      </c>
    </row>
    <row r="241" spans="1:24" outlineLevel="2" x14ac:dyDescent="0.25">
      <c r="A241"/>
      <c r="B241" s="131" t="s">
        <v>577</v>
      </c>
      <c r="C241" s="131"/>
      <c r="D241" s="53"/>
      <c r="E241" s="53"/>
      <c r="F241" s="53"/>
      <c r="G241" s="53"/>
      <c r="H241" s="53"/>
      <c r="I241" s="53"/>
      <c r="J241" s="53"/>
      <c r="K241" s="53"/>
      <c r="L241" s="28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254"/>
      <c r="X241" s="238">
        <f t="shared" si="17"/>
        <v>0</v>
      </c>
    </row>
    <row r="242" spans="1:24" outlineLevel="2" x14ac:dyDescent="0.25">
      <c r="A242"/>
      <c r="B242" s="131" t="s">
        <v>578</v>
      </c>
      <c r="C242" s="131"/>
      <c r="D242" s="53"/>
      <c r="E242" s="53"/>
      <c r="F242" s="53"/>
      <c r="G242" s="53"/>
      <c r="H242" s="53"/>
      <c r="I242" s="53"/>
      <c r="J242" s="53"/>
      <c r="K242" s="53"/>
      <c r="L242" s="28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254"/>
      <c r="X242" s="238">
        <f t="shared" si="17"/>
        <v>0</v>
      </c>
    </row>
    <row r="243" spans="1:24" outlineLevel="2" x14ac:dyDescent="0.25">
      <c r="A243"/>
      <c r="B243" s="131" t="s">
        <v>579</v>
      </c>
      <c r="C243" s="131"/>
      <c r="D243" s="53"/>
      <c r="E243" s="53"/>
      <c r="F243" s="53"/>
      <c r="G243" s="53"/>
      <c r="H243" s="53"/>
      <c r="I243" s="53"/>
      <c r="J243" s="53"/>
      <c r="K243" s="53"/>
      <c r="L243" s="28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254"/>
      <c r="X243" s="238">
        <f t="shared" si="17"/>
        <v>0</v>
      </c>
    </row>
    <row r="244" spans="1:24" outlineLevel="2" x14ac:dyDescent="0.25">
      <c r="A244"/>
      <c r="B244" s="131" t="s">
        <v>580</v>
      </c>
      <c r="C244" s="131"/>
      <c r="D244" s="53"/>
      <c r="E244" s="53"/>
      <c r="F244" s="53"/>
      <c r="G244" s="53"/>
      <c r="H244" s="53"/>
      <c r="I244" s="53"/>
      <c r="J244" s="53"/>
      <c r="K244" s="53"/>
      <c r="L244" s="28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254"/>
      <c r="X244" s="238">
        <f t="shared" si="17"/>
        <v>0</v>
      </c>
    </row>
    <row r="245" spans="1:24" outlineLevel="2" x14ac:dyDescent="0.25">
      <c r="A245"/>
      <c r="B245" s="131" t="s">
        <v>581</v>
      </c>
      <c r="C245" s="131"/>
      <c r="D245" s="53"/>
      <c r="E245" s="53"/>
      <c r="F245" s="53"/>
      <c r="G245" s="53"/>
      <c r="H245" s="53"/>
      <c r="I245" s="53"/>
      <c r="J245" s="53"/>
      <c r="K245" s="53"/>
      <c r="L245" s="28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254"/>
      <c r="X245" s="238">
        <f t="shared" si="17"/>
        <v>0</v>
      </c>
    </row>
    <row r="246" spans="1:24" ht="15.75" outlineLevel="2" thickBot="1" x14ac:dyDescent="0.3">
      <c r="A246"/>
      <c r="B246" s="131" t="s">
        <v>582</v>
      </c>
      <c r="C246" s="131"/>
      <c r="D246" s="53"/>
      <c r="E246" s="53"/>
      <c r="F246" s="53"/>
      <c r="G246" s="53"/>
      <c r="H246" s="53"/>
      <c r="I246" s="53"/>
      <c r="J246" s="53"/>
      <c r="K246" s="53"/>
      <c r="L246" s="28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254"/>
      <c r="X246" s="238">
        <f t="shared" si="17"/>
        <v>0</v>
      </c>
    </row>
    <row r="247" spans="1:24" ht="15.75" outlineLevel="1" thickBot="1" x14ac:dyDescent="0.3">
      <c r="A247" s="767" t="s">
        <v>583</v>
      </c>
      <c r="B247" s="768"/>
      <c r="C247" s="768"/>
      <c r="D247" s="129">
        <v>0</v>
      </c>
      <c r="E247" s="129">
        <v>0</v>
      </c>
      <c r="F247" s="129">
        <v>0</v>
      </c>
      <c r="G247" s="129">
        <v>0</v>
      </c>
      <c r="H247" s="129">
        <v>0</v>
      </c>
      <c r="I247" s="129">
        <v>0</v>
      </c>
      <c r="J247" s="129">
        <v>0</v>
      </c>
      <c r="K247" s="129">
        <v>0</v>
      </c>
      <c r="L247" s="298"/>
      <c r="M247" s="130"/>
      <c r="N247" s="130"/>
      <c r="O247" s="130"/>
      <c r="P247" s="130"/>
      <c r="Q247" s="130"/>
      <c r="R247" s="130"/>
      <c r="S247" s="130"/>
      <c r="T247" s="130"/>
      <c r="U247" s="130"/>
      <c r="V247" s="130"/>
      <c r="W247" s="299"/>
      <c r="X247" s="64">
        <f>SUM(X236:X246)</f>
        <v>0</v>
      </c>
    </row>
    <row r="248" spans="1:24" ht="15.75" thickBot="1" x14ac:dyDescent="0.3">
      <c r="A248" s="785" t="s">
        <v>584</v>
      </c>
      <c r="B248" s="786"/>
      <c r="C248" s="786"/>
      <c r="D248" s="21">
        <v>0</v>
      </c>
      <c r="E248" s="21">
        <v>17</v>
      </c>
      <c r="F248" s="21">
        <v>40</v>
      </c>
      <c r="G248" s="21">
        <v>28</v>
      </c>
      <c r="H248" s="21">
        <v>61</v>
      </c>
      <c r="I248" s="21">
        <v>61</v>
      </c>
      <c r="J248" s="21">
        <v>28</v>
      </c>
      <c r="K248" s="21">
        <v>38</v>
      </c>
      <c r="L248" s="21">
        <f t="shared" ref="L248:X248" si="18">L229+L223+L198+L187+L147+L80+L70+L227+L235+L247</f>
        <v>0</v>
      </c>
      <c r="M248" s="128">
        <f t="shared" si="18"/>
        <v>0</v>
      </c>
      <c r="N248" s="127">
        <f t="shared" si="18"/>
        <v>0</v>
      </c>
      <c r="O248" s="127">
        <f t="shared" si="18"/>
        <v>0</v>
      </c>
      <c r="P248" s="127">
        <f t="shared" si="18"/>
        <v>0</v>
      </c>
      <c r="Q248" s="127">
        <f t="shared" si="18"/>
        <v>0</v>
      </c>
      <c r="R248" s="127">
        <f t="shared" si="18"/>
        <v>0</v>
      </c>
      <c r="S248" s="127">
        <f t="shared" si="18"/>
        <v>0</v>
      </c>
      <c r="T248" s="127">
        <f t="shared" si="18"/>
        <v>0</v>
      </c>
      <c r="U248" s="127">
        <f t="shared" si="18"/>
        <v>0</v>
      </c>
      <c r="V248" s="127">
        <f t="shared" si="18"/>
        <v>0</v>
      </c>
      <c r="W248" s="126">
        <f t="shared" si="18"/>
        <v>0</v>
      </c>
      <c r="X248" s="225">
        <f t="shared" si="18"/>
        <v>0</v>
      </c>
    </row>
    <row r="249" spans="1:24" outlineLevel="1" x14ac:dyDescent="0.25">
      <c r="A249" s="776" t="s">
        <v>164</v>
      </c>
      <c r="B249" s="782" t="s">
        <v>585</v>
      </c>
      <c r="C249" s="119" t="s">
        <v>586</v>
      </c>
      <c r="D249" s="33"/>
      <c r="E249" s="33"/>
      <c r="F249" s="33"/>
      <c r="G249" s="33"/>
      <c r="H249" s="33"/>
      <c r="I249" s="33"/>
      <c r="J249" s="33"/>
      <c r="K249" s="33"/>
      <c r="L249" s="281"/>
      <c r="M249" s="73"/>
      <c r="N249" s="68"/>
      <c r="O249" s="68"/>
      <c r="P249" s="68"/>
      <c r="Q249" s="68"/>
      <c r="R249" s="68"/>
      <c r="S249" s="32"/>
      <c r="T249" s="32"/>
      <c r="U249" s="32"/>
      <c r="V249" s="32"/>
      <c r="W249" s="259"/>
      <c r="X249" s="236">
        <f t="shared" ref="X249:X312" si="19">SUM(L249:W249)</f>
        <v>0</v>
      </c>
    </row>
    <row r="250" spans="1:24" outlineLevel="1" x14ac:dyDescent="0.25">
      <c r="A250" s="777"/>
      <c r="B250" s="787"/>
      <c r="C250" s="123" t="s">
        <v>587</v>
      </c>
      <c r="D250" s="60"/>
      <c r="E250" s="60"/>
      <c r="F250" s="60"/>
      <c r="G250" s="60"/>
      <c r="H250" s="60"/>
      <c r="I250" s="60"/>
      <c r="J250" s="60"/>
      <c r="K250" s="60"/>
      <c r="L250" s="109"/>
      <c r="M250" s="66"/>
      <c r="N250" s="66"/>
      <c r="O250" s="66"/>
      <c r="P250" s="66"/>
      <c r="Q250" s="66"/>
      <c r="R250" s="66"/>
      <c r="S250" s="59"/>
      <c r="T250" s="59"/>
      <c r="U250" s="59"/>
      <c r="V250" s="59"/>
      <c r="W250" s="255"/>
      <c r="X250" s="234">
        <f t="shared" si="19"/>
        <v>0</v>
      </c>
    </row>
    <row r="251" spans="1:24" outlineLevel="1" x14ac:dyDescent="0.25">
      <c r="A251" s="777"/>
      <c r="B251" s="783"/>
      <c r="C251" s="122" t="s">
        <v>588</v>
      </c>
      <c r="D251" s="60"/>
      <c r="E251" s="60"/>
      <c r="F251" s="60"/>
      <c r="G251" s="60"/>
      <c r="H251" s="60"/>
      <c r="I251" s="60"/>
      <c r="J251" s="60"/>
      <c r="K251" s="60"/>
      <c r="L251" s="109"/>
      <c r="M251" s="66"/>
      <c r="N251" s="66"/>
      <c r="O251" s="66"/>
      <c r="P251" s="66"/>
      <c r="Q251" s="66"/>
      <c r="R251" s="66"/>
      <c r="S251" s="59"/>
      <c r="T251" s="59"/>
      <c r="U251" s="59"/>
      <c r="V251" s="59"/>
      <c r="W251" s="255"/>
      <c r="X251" s="234">
        <f t="shared" si="19"/>
        <v>0</v>
      </c>
    </row>
    <row r="252" spans="1:24" outlineLevel="1" x14ac:dyDescent="0.25">
      <c r="A252" s="777"/>
      <c r="B252" s="783"/>
      <c r="C252" s="122" t="s">
        <v>589</v>
      </c>
      <c r="D252" s="60"/>
      <c r="E252" s="60"/>
      <c r="F252" s="60"/>
      <c r="G252" s="60"/>
      <c r="H252" s="60"/>
      <c r="I252" s="60"/>
      <c r="J252" s="60"/>
      <c r="K252" s="60"/>
      <c r="L252" s="109"/>
      <c r="M252" s="66"/>
      <c r="N252" s="59"/>
      <c r="O252" s="66"/>
      <c r="P252" s="66"/>
      <c r="Q252" s="66"/>
      <c r="R252" s="66"/>
      <c r="S252" s="59"/>
      <c r="T252" s="59"/>
      <c r="U252" s="59"/>
      <c r="V252" s="59"/>
      <c r="W252" s="255"/>
      <c r="X252" s="234">
        <f t="shared" si="19"/>
        <v>0</v>
      </c>
    </row>
    <row r="253" spans="1:24" outlineLevel="1" x14ac:dyDescent="0.25">
      <c r="A253" s="777"/>
      <c r="B253" s="783"/>
      <c r="C253" s="122" t="s">
        <v>590</v>
      </c>
      <c r="D253" s="60"/>
      <c r="E253" s="60"/>
      <c r="F253" s="60"/>
      <c r="G253" s="60"/>
      <c r="H253" s="60"/>
      <c r="I253" s="60"/>
      <c r="J253" s="60"/>
      <c r="K253" s="60"/>
      <c r="L253" s="109"/>
      <c r="M253" s="66"/>
      <c r="N253" s="66"/>
      <c r="O253" s="66"/>
      <c r="P253" s="66"/>
      <c r="Q253" s="66"/>
      <c r="R253" s="66"/>
      <c r="S253" s="59"/>
      <c r="T253" s="59"/>
      <c r="U253" s="59"/>
      <c r="V253" s="59"/>
      <c r="W253" s="255"/>
      <c r="X253" s="234">
        <f t="shared" si="19"/>
        <v>0</v>
      </c>
    </row>
    <row r="254" spans="1:24" outlineLevel="1" x14ac:dyDescent="0.25">
      <c r="A254" s="777"/>
      <c r="B254" s="783"/>
      <c r="C254" s="121" t="s">
        <v>591</v>
      </c>
      <c r="D254" s="60"/>
      <c r="E254" s="60"/>
      <c r="F254" s="60"/>
      <c r="G254" s="60"/>
      <c r="H254" s="60"/>
      <c r="I254" s="60"/>
      <c r="J254" s="60"/>
      <c r="K254" s="60"/>
      <c r="L254" s="109"/>
      <c r="M254" s="66"/>
      <c r="N254" s="66"/>
      <c r="O254" s="66"/>
      <c r="P254" s="66"/>
      <c r="Q254" s="66"/>
      <c r="R254" s="66"/>
      <c r="S254" s="59"/>
      <c r="T254" s="59"/>
      <c r="U254" s="59"/>
      <c r="V254" s="59"/>
      <c r="W254" s="255"/>
      <c r="X254" s="234">
        <f t="shared" si="19"/>
        <v>0</v>
      </c>
    </row>
    <row r="255" spans="1:24" outlineLevel="1" x14ac:dyDescent="0.25">
      <c r="A255" s="777"/>
      <c r="B255" s="783"/>
      <c r="C255" s="122" t="s">
        <v>592</v>
      </c>
      <c r="D255" s="60"/>
      <c r="E255" s="60"/>
      <c r="F255" s="60"/>
      <c r="G255" s="60"/>
      <c r="H255" s="60"/>
      <c r="I255" s="60"/>
      <c r="J255" s="60"/>
      <c r="K255" s="60"/>
      <c r="L255" s="109"/>
      <c r="M255" s="66"/>
      <c r="N255" s="66"/>
      <c r="O255" s="66"/>
      <c r="P255" s="66"/>
      <c r="Q255" s="66"/>
      <c r="R255" s="66"/>
      <c r="S255" s="59"/>
      <c r="T255" s="59"/>
      <c r="U255" s="59"/>
      <c r="V255" s="59"/>
      <c r="W255" s="255"/>
      <c r="X255" s="234">
        <f t="shared" si="19"/>
        <v>0</v>
      </c>
    </row>
    <row r="256" spans="1:24" outlineLevel="1" x14ac:dyDescent="0.25">
      <c r="A256" s="777"/>
      <c r="B256" s="783"/>
      <c r="C256" s="122" t="s">
        <v>593</v>
      </c>
      <c r="D256" s="60"/>
      <c r="E256" s="60"/>
      <c r="F256" s="60"/>
      <c r="G256" s="60"/>
      <c r="H256" s="60"/>
      <c r="I256" s="60"/>
      <c r="J256" s="60"/>
      <c r="K256" s="60"/>
      <c r="L256" s="260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261"/>
      <c r="X256" s="234">
        <f t="shared" si="19"/>
        <v>0</v>
      </c>
    </row>
    <row r="257" spans="1:24" outlineLevel="1" x14ac:dyDescent="0.25">
      <c r="A257" s="777"/>
      <c r="B257" s="783"/>
      <c r="C257" s="122" t="s">
        <v>594</v>
      </c>
      <c r="D257" s="60"/>
      <c r="E257" s="60"/>
      <c r="F257" s="60"/>
      <c r="G257" s="60"/>
      <c r="H257" s="60"/>
      <c r="I257" s="60"/>
      <c r="J257" s="60"/>
      <c r="K257" s="60"/>
      <c r="L257" s="109"/>
      <c r="M257" s="98"/>
      <c r="N257" s="59"/>
      <c r="O257" s="59"/>
      <c r="P257" s="59"/>
      <c r="Q257" s="59"/>
      <c r="R257" s="59"/>
      <c r="S257" s="59"/>
      <c r="T257" s="59"/>
      <c r="U257" s="59"/>
      <c r="V257" s="59"/>
      <c r="W257" s="255"/>
      <c r="X257" s="234">
        <f t="shared" si="19"/>
        <v>0</v>
      </c>
    </row>
    <row r="258" spans="1:24" outlineLevel="1" x14ac:dyDescent="0.25">
      <c r="A258" s="777"/>
      <c r="B258" s="783"/>
      <c r="C258" s="122" t="s">
        <v>595</v>
      </c>
      <c r="D258" s="60"/>
      <c r="E258" s="60"/>
      <c r="F258" s="60"/>
      <c r="G258" s="60"/>
      <c r="H258" s="60"/>
      <c r="I258" s="60"/>
      <c r="J258" s="60"/>
      <c r="K258" s="60"/>
      <c r="L258" s="266"/>
      <c r="M258" s="59"/>
      <c r="N258" s="59"/>
      <c r="O258" s="98"/>
      <c r="P258" s="98"/>
      <c r="Q258" s="98"/>
      <c r="R258" s="98"/>
      <c r="S258" s="98"/>
      <c r="T258" s="98"/>
      <c r="U258" s="98"/>
      <c r="V258" s="98"/>
      <c r="W258" s="262"/>
      <c r="X258" s="234">
        <f t="shared" si="19"/>
        <v>0</v>
      </c>
    </row>
    <row r="259" spans="1:24" ht="15.75" outlineLevel="1" thickBot="1" x14ac:dyDescent="0.3">
      <c r="A259" s="777"/>
      <c r="B259" s="784"/>
      <c r="C259" s="124" t="s">
        <v>596</v>
      </c>
      <c r="D259" s="37"/>
      <c r="E259" s="37"/>
      <c r="F259" s="37"/>
      <c r="G259" s="37"/>
      <c r="H259" s="37"/>
      <c r="I259" s="37"/>
      <c r="J259" s="37"/>
      <c r="K259" s="37"/>
      <c r="L259" s="25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257"/>
      <c r="X259" s="235">
        <f t="shared" si="19"/>
        <v>0</v>
      </c>
    </row>
    <row r="260" spans="1:24" outlineLevel="1" x14ac:dyDescent="0.25">
      <c r="A260" s="777"/>
      <c r="B260" s="782" t="s">
        <v>597</v>
      </c>
      <c r="C260" s="119" t="s">
        <v>598</v>
      </c>
      <c r="D260" s="33"/>
      <c r="E260" s="33"/>
      <c r="F260" s="33"/>
      <c r="G260" s="33"/>
      <c r="H260" s="33"/>
      <c r="I260" s="33"/>
      <c r="J260" s="33"/>
      <c r="K260" s="33"/>
      <c r="L260" s="258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259"/>
      <c r="X260" s="236">
        <f t="shared" si="19"/>
        <v>0</v>
      </c>
    </row>
    <row r="261" spans="1:24" outlineLevel="1" x14ac:dyDescent="0.25">
      <c r="A261" s="777"/>
      <c r="B261" s="783"/>
      <c r="C261" s="121" t="s">
        <v>599</v>
      </c>
      <c r="D261" s="60"/>
      <c r="E261" s="60"/>
      <c r="F261" s="60"/>
      <c r="G261" s="60"/>
      <c r="H261" s="60"/>
      <c r="I261" s="60"/>
      <c r="J261" s="60"/>
      <c r="K261" s="60"/>
      <c r="L261" s="109"/>
      <c r="M261" s="59"/>
      <c r="N261" s="59"/>
      <c r="O261" s="59"/>
      <c r="P261" s="59"/>
      <c r="Q261" s="59"/>
      <c r="R261" s="59"/>
      <c r="S261" s="59"/>
      <c r="T261" s="59"/>
      <c r="U261" s="59"/>
      <c r="V261" s="98"/>
      <c r="W261" s="262"/>
      <c r="X261" s="234">
        <f t="shared" si="19"/>
        <v>0</v>
      </c>
    </row>
    <row r="262" spans="1:24" outlineLevel="1" x14ac:dyDescent="0.25">
      <c r="A262" s="777"/>
      <c r="B262" s="783"/>
      <c r="C262" s="122" t="s">
        <v>600</v>
      </c>
      <c r="D262" s="60"/>
      <c r="E262" s="60"/>
      <c r="F262" s="60"/>
      <c r="G262" s="60"/>
      <c r="H262" s="60"/>
      <c r="I262" s="60"/>
      <c r="J262" s="60"/>
      <c r="K262" s="60"/>
      <c r="L262" s="10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255"/>
      <c r="X262" s="234">
        <f t="shared" si="19"/>
        <v>0</v>
      </c>
    </row>
    <row r="263" spans="1:24" outlineLevel="1" x14ac:dyDescent="0.25">
      <c r="A263" s="777"/>
      <c r="B263" s="783"/>
      <c r="C263" s="122" t="s">
        <v>601</v>
      </c>
      <c r="D263" s="60"/>
      <c r="E263" s="60"/>
      <c r="F263" s="60"/>
      <c r="G263" s="60"/>
      <c r="H263" s="60"/>
      <c r="I263" s="60"/>
      <c r="J263" s="60"/>
      <c r="K263" s="60"/>
      <c r="L263" s="10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255"/>
      <c r="X263" s="234">
        <f t="shared" si="19"/>
        <v>0</v>
      </c>
    </row>
    <row r="264" spans="1:24" outlineLevel="1" x14ac:dyDescent="0.25">
      <c r="A264" s="777"/>
      <c r="B264" s="783"/>
      <c r="C264" s="122" t="s">
        <v>602</v>
      </c>
      <c r="D264" s="60"/>
      <c r="E264" s="60"/>
      <c r="F264" s="60"/>
      <c r="G264" s="60"/>
      <c r="H264" s="60"/>
      <c r="I264" s="60"/>
      <c r="J264" s="60"/>
      <c r="K264" s="60"/>
      <c r="L264" s="10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255"/>
      <c r="X264" s="234">
        <f t="shared" si="19"/>
        <v>0</v>
      </c>
    </row>
    <row r="265" spans="1:24" outlineLevel="1" x14ac:dyDescent="0.25">
      <c r="A265" s="777"/>
      <c r="B265" s="783"/>
      <c r="C265" s="122" t="s">
        <v>603</v>
      </c>
      <c r="D265" s="60"/>
      <c r="E265" s="60"/>
      <c r="F265" s="60"/>
      <c r="G265" s="60"/>
      <c r="H265" s="60"/>
      <c r="I265" s="60"/>
      <c r="J265" s="60"/>
      <c r="K265" s="60"/>
      <c r="L265" s="111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265"/>
      <c r="X265" s="234">
        <f t="shared" si="19"/>
        <v>0</v>
      </c>
    </row>
    <row r="266" spans="1:24" outlineLevel="1" x14ac:dyDescent="0.25">
      <c r="A266" s="777"/>
      <c r="B266" s="783"/>
      <c r="C266" s="122" t="s">
        <v>604</v>
      </c>
      <c r="D266" s="60"/>
      <c r="E266" s="60"/>
      <c r="F266" s="60"/>
      <c r="G266" s="60"/>
      <c r="H266" s="60"/>
      <c r="I266" s="60"/>
      <c r="J266" s="60"/>
      <c r="K266" s="60"/>
      <c r="L266" s="111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265"/>
      <c r="X266" s="234">
        <f t="shared" si="19"/>
        <v>0</v>
      </c>
    </row>
    <row r="267" spans="1:24" outlineLevel="1" x14ac:dyDescent="0.25">
      <c r="A267" s="777"/>
      <c r="B267" s="783"/>
      <c r="C267" s="122" t="s">
        <v>605</v>
      </c>
      <c r="D267" s="60"/>
      <c r="E267" s="60"/>
      <c r="F267" s="60"/>
      <c r="G267" s="60"/>
      <c r="H267" s="60"/>
      <c r="I267" s="60"/>
      <c r="J267" s="60"/>
      <c r="K267" s="60"/>
      <c r="L267" s="111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265"/>
      <c r="X267" s="234">
        <f t="shared" si="19"/>
        <v>0</v>
      </c>
    </row>
    <row r="268" spans="1:24" outlineLevel="1" x14ac:dyDescent="0.25">
      <c r="A268" s="777"/>
      <c r="B268" s="783"/>
      <c r="C268" s="122" t="s">
        <v>606</v>
      </c>
      <c r="D268" s="60"/>
      <c r="E268" s="60"/>
      <c r="F268" s="60"/>
      <c r="G268" s="60"/>
      <c r="H268" s="60"/>
      <c r="I268" s="60"/>
      <c r="J268" s="60"/>
      <c r="K268" s="60"/>
      <c r="L268" s="111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265"/>
      <c r="X268" s="234">
        <f t="shared" si="19"/>
        <v>0</v>
      </c>
    </row>
    <row r="269" spans="1:24" outlineLevel="1" x14ac:dyDescent="0.25">
      <c r="A269" s="777"/>
      <c r="B269" s="783"/>
      <c r="C269" s="122" t="s">
        <v>607</v>
      </c>
      <c r="D269" s="60"/>
      <c r="E269" s="60"/>
      <c r="F269" s="60"/>
      <c r="G269" s="60"/>
      <c r="H269" s="60"/>
      <c r="I269" s="60"/>
      <c r="J269" s="60"/>
      <c r="K269" s="60"/>
      <c r="L269" s="111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265"/>
      <c r="X269" s="234">
        <f t="shared" si="19"/>
        <v>0</v>
      </c>
    </row>
    <row r="270" spans="1:24" outlineLevel="1" x14ac:dyDescent="0.25">
      <c r="A270" s="777"/>
      <c r="B270" s="783"/>
      <c r="C270" s="122" t="s">
        <v>608</v>
      </c>
      <c r="D270" s="60"/>
      <c r="E270" s="60"/>
      <c r="F270" s="60"/>
      <c r="G270" s="60"/>
      <c r="H270" s="60"/>
      <c r="I270" s="60"/>
      <c r="J270" s="60"/>
      <c r="K270" s="60"/>
      <c r="L270" s="111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265"/>
      <c r="X270" s="234">
        <f t="shared" si="19"/>
        <v>0</v>
      </c>
    </row>
    <row r="271" spans="1:24" outlineLevel="1" x14ac:dyDescent="0.25">
      <c r="A271" s="777"/>
      <c r="B271" s="783"/>
      <c r="C271" s="122" t="s">
        <v>609</v>
      </c>
      <c r="D271" s="60"/>
      <c r="E271" s="60"/>
      <c r="F271" s="60"/>
      <c r="G271" s="60"/>
      <c r="H271" s="60"/>
      <c r="I271" s="60"/>
      <c r="J271" s="60"/>
      <c r="K271" s="60"/>
      <c r="L271" s="111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265"/>
      <c r="X271" s="234">
        <f t="shared" si="19"/>
        <v>0</v>
      </c>
    </row>
    <row r="272" spans="1:24" outlineLevel="1" x14ac:dyDescent="0.25">
      <c r="A272" s="777"/>
      <c r="B272" s="783"/>
      <c r="C272" s="122" t="s">
        <v>610</v>
      </c>
      <c r="D272" s="60"/>
      <c r="E272" s="60"/>
      <c r="F272" s="60"/>
      <c r="G272" s="60"/>
      <c r="H272" s="60"/>
      <c r="I272" s="60"/>
      <c r="J272" s="60"/>
      <c r="K272" s="60"/>
      <c r="L272" s="111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265"/>
      <c r="X272" s="234">
        <f t="shared" si="19"/>
        <v>0</v>
      </c>
    </row>
    <row r="273" spans="1:24" outlineLevel="1" x14ac:dyDescent="0.25">
      <c r="A273" s="777"/>
      <c r="B273" s="783"/>
      <c r="C273" s="122" t="s">
        <v>611</v>
      </c>
      <c r="D273" s="60"/>
      <c r="E273" s="60"/>
      <c r="F273" s="60"/>
      <c r="G273" s="60"/>
      <c r="H273" s="60"/>
      <c r="I273" s="60"/>
      <c r="J273" s="60"/>
      <c r="K273" s="60"/>
      <c r="L273" s="260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261"/>
      <c r="X273" s="234">
        <f t="shared" si="19"/>
        <v>0</v>
      </c>
    </row>
    <row r="274" spans="1:24" outlineLevel="1" x14ac:dyDescent="0.25">
      <c r="A274" s="777"/>
      <c r="B274" s="783"/>
      <c r="C274" s="122" t="s">
        <v>612</v>
      </c>
      <c r="D274" s="60"/>
      <c r="E274" s="60"/>
      <c r="F274" s="60"/>
      <c r="G274" s="60"/>
      <c r="H274" s="60"/>
      <c r="I274" s="60"/>
      <c r="J274" s="60"/>
      <c r="K274" s="60"/>
      <c r="L274" s="111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265"/>
      <c r="X274" s="234">
        <f t="shared" si="19"/>
        <v>0</v>
      </c>
    </row>
    <row r="275" spans="1:24" outlineLevel="1" x14ac:dyDescent="0.25">
      <c r="A275" s="777"/>
      <c r="B275" s="783"/>
      <c r="C275" s="122" t="s">
        <v>613</v>
      </c>
      <c r="D275" s="60"/>
      <c r="E275" s="60"/>
      <c r="F275" s="60"/>
      <c r="G275" s="60"/>
      <c r="H275" s="60"/>
      <c r="I275" s="60"/>
      <c r="J275" s="60"/>
      <c r="K275" s="60"/>
      <c r="L275" s="111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265"/>
      <c r="X275" s="234">
        <f t="shared" si="19"/>
        <v>0</v>
      </c>
    </row>
    <row r="276" spans="1:24" outlineLevel="1" x14ac:dyDescent="0.25">
      <c r="A276" s="777"/>
      <c r="B276" s="783"/>
      <c r="C276" s="122" t="s">
        <v>614</v>
      </c>
      <c r="D276" s="60"/>
      <c r="E276" s="60"/>
      <c r="F276" s="60"/>
      <c r="G276" s="60"/>
      <c r="H276" s="60"/>
      <c r="I276" s="60"/>
      <c r="J276" s="60"/>
      <c r="K276" s="60"/>
      <c r="L276" s="111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265"/>
      <c r="X276" s="234">
        <f t="shared" si="19"/>
        <v>0</v>
      </c>
    </row>
    <row r="277" spans="1:24" outlineLevel="1" x14ac:dyDescent="0.25">
      <c r="A277" s="777"/>
      <c r="B277" s="783"/>
      <c r="C277" s="122" t="s">
        <v>615</v>
      </c>
      <c r="D277" s="60"/>
      <c r="E277" s="60"/>
      <c r="F277" s="60"/>
      <c r="G277" s="60"/>
      <c r="H277" s="60"/>
      <c r="I277" s="60"/>
      <c r="J277" s="60"/>
      <c r="K277" s="60"/>
      <c r="L277" s="109"/>
      <c r="M277" s="69"/>
      <c r="N277" s="66"/>
      <c r="O277" s="66"/>
      <c r="P277" s="66"/>
      <c r="Q277" s="66"/>
      <c r="R277" s="66"/>
      <c r="S277" s="59"/>
      <c r="T277" s="59"/>
      <c r="U277" s="59"/>
      <c r="V277" s="59"/>
      <c r="W277" s="255"/>
      <c r="X277" s="234">
        <f t="shared" si="19"/>
        <v>0</v>
      </c>
    </row>
    <row r="278" spans="1:24" outlineLevel="1" x14ac:dyDescent="0.25">
      <c r="A278" s="777"/>
      <c r="B278" s="783"/>
      <c r="C278" s="122" t="s">
        <v>616</v>
      </c>
      <c r="D278" s="60"/>
      <c r="E278" s="60"/>
      <c r="F278" s="60"/>
      <c r="G278" s="60"/>
      <c r="H278" s="60"/>
      <c r="I278" s="60"/>
      <c r="J278" s="60"/>
      <c r="K278" s="60"/>
      <c r="L278" s="266"/>
      <c r="M278" s="66"/>
      <c r="N278" s="66"/>
      <c r="O278" s="66"/>
      <c r="P278" s="66"/>
      <c r="Q278" s="66"/>
      <c r="R278" s="66"/>
      <c r="S278" s="98"/>
      <c r="T278" s="98"/>
      <c r="U278" s="98"/>
      <c r="V278" s="98"/>
      <c r="W278" s="265"/>
      <c r="X278" s="234">
        <f t="shared" si="19"/>
        <v>0</v>
      </c>
    </row>
    <row r="279" spans="1:24" outlineLevel="1" x14ac:dyDescent="0.25">
      <c r="A279" s="777"/>
      <c r="B279" s="783"/>
      <c r="C279" s="122" t="s">
        <v>617</v>
      </c>
      <c r="D279" s="60"/>
      <c r="E279" s="60"/>
      <c r="F279" s="60"/>
      <c r="G279" s="60"/>
      <c r="H279" s="60"/>
      <c r="I279" s="60"/>
      <c r="J279" s="60"/>
      <c r="K279" s="60"/>
      <c r="L279" s="266"/>
      <c r="M279" s="66"/>
      <c r="N279" s="66"/>
      <c r="O279" s="66"/>
      <c r="P279" s="66"/>
      <c r="Q279" s="66"/>
      <c r="R279" s="66"/>
      <c r="S279" s="98"/>
      <c r="T279" s="98"/>
      <c r="U279" s="98"/>
      <c r="V279" s="98"/>
      <c r="W279" s="265"/>
      <c r="X279" s="234">
        <f t="shared" si="19"/>
        <v>0</v>
      </c>
    </row>
    <row r="280" spans="1:24" outlineLevel="1" x14ac:dyDescent="0.25">
      <c r="A280" s="777"/>
      <c r="B280" s="783"/>
      <c r="C280" s="122" t="s">
        <v>618</v>
      </c>
      <c r="D280" s="60"/>
      <c r="E280" s="60"/>
      <c r="F280" s="60"/>
      <c r="G280" s="60"/>
      <c r="H280" s="60"/>
      <c r="I280" s="60"/>
      <c r="J280" s="60"/>
      <c r="K280" s="60"/>
      <c r="L280" s="266"/>
      <c r="M280" s="66"/>
      <c r="N280" s="66"/>
      <c r="O280" s="66"/>
      <c r="P280" s="66"/>
      <c r="Q280" s="66"/>
      <c r="R280" s="66"/>
      <c r="S280" s="98"/>
      <c r="T280" s="98"/>
      <c r="U280" s="98"/>
      <c r="V280" s="98"/>
      <c r="W280" s="265"/>
      <c r="X280" s="234">
        <f t="shared" si="19"/>
        <v>0</v>
      </c>
    </row>
    <row r="281" spans="1:24" outlineLevel="1" x14ac:dyDescent="0.25">
      <c r="A281" s="777"/>
      <c r="B281" s="783"/>
      <c r="C281" s="122" t="s">
        <v>619</v>
      </c>
      <c r="D281" s="60"/>
      <c r="E281" s="60"/>
      <c r="F281" s="60"/>
      <c r="G281" s="60"/>
      <c r="H281" s="60"/>
      <c r="I281" s="60"/>
      <c r="J281" s="60"/>
      <c r="K281" s="60"/>
      <c r="L281" s="109"/>
      <c r="M281" s="66"/>
      <c r="N281" s="66"/>
      <c r="O281" s="66"/>
      <c r="P281" s="66"/>
      <c r="Q281" s="66"/>
      <c r="R281" s="66"/>
      <c r="S281" s="59"/>
      <c r="T281" s="59"/>
      <c r="U281" s="59"/>
      <c r="V281" s="59"/>
      <c r="W281" s="255"/>
      <c r="X281" s="234">
        <f t="shared" si="19"/>
        <v>0</v>
      </c>
    </row>
    <row r="282" spans="1:24" ht="15.75" outlineLevel="1" thickBot="1" x14ac:dyDescent="0.3">
      <c r="A282" s="777"/>
      <c r="B282" s="784"/>
      <c r="C282" s="124" t="s">
        <v>620</v>
      </c>
      <c r="D282" s="37"/>
      <c r="E282" s="37"/>
      <c r="F282" s="37"/>
      <c r="G282" s="37"/>
      <c r="H282" s="37"/>
      <c r="I282" s="37"/>
      <c r="J282" s="37"/>
      <c r="K282" s="37"/>
      <c r="L282" s="256"/>
      <c r="M282" s="65"/>
      <c r="N282" s="65"/>
      <c r="O282" s="65"/>
      <c r="P282" s="65"/>
      <c r="Q282" s="65"/>
      <c r="R282" s="65"/>
      <c r="S282" s="36"/>
      <c r="T282" s="36"/>
      <c r="U282" s="36"/>
      <c r="V282" s="36"/>
      <c r="W282" s="257"/>
      <c r="X282" s="235">
        <f t="shared" si="19"/>
        <v>0</v>
      </c>
    </row>
    <row r="283" spans="1:24" outlineLevel="1" x14ac:dyDescent="0.25">
      <c r="A283" s="777"/>
      <c r="B283" s="782" t="s">
        <v>621</v>
      </c>
      <c r="C283" s="119" t="s">
        <v>622</v>
      </c>
      <c r="D283" s="33"/>
      <c r="E283" s="33"/>
      <c r="F283" s="33"/>
      <c r="G283" s="33"/>
      <c r="H283" s="33"/>
      <c r="I283" s="33"/>
      <c r="J283" s="33"/>
      <c r="K283" s="33"/>
      <c r="L283" s="258"/>
      <c r="M283" s="68"/>
      <c r="N283" s="68"/>
      <c r="O283" s="68"/>
      <c r="P283" s="68"/>
      <c r="Q283" s="68"/>
      <c r="R283" s="68"/>
      <c r="S283" s="32"/>
      <c r="T283" s="32"/>
      <c r="U283" s="32"/>
      <c r="V283" s="32"/>
      <c r="W283" s="259"/>
      <c r="X283" s="236">
        <f t="shared" si="19"/>
        <v>0</v>
      </c>
    </row>
    <row r="284" spans="1:24" outlineLevel="1" x14ac:dyDescent="0.25">
      <c r="A284" s="777"/>
      <c r="B284" s="783"/>
      <c r="C284" s="122" t="s">
        <v>623</v>
      </c>
      <c r="D284" s="60"/>
      <c r="E284" s="60"/>
      <c r="F284" s="60"/>
      <c r="G284" s="60"/>
      <c r="H284" s="60"/>
      <c r="I284" s="60"/>
      <c r="J284" s="60"/>
      <c r="K284" s="60"/>
      <c r="L284" s="111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265"/>
      <c r="X284" s="234">
        <f t="shared" si="19"/>
        <v>0</v>
      </c>
    </row>
    <row r="285" spans="1:24" outlineLevel="1" x14ac:dyDescent="0.25">
      <c r="A285" s="777"/>
      <c r="B285" s="783"/>
      <c r="C285" s="122" t="s">
        <v>624</v>
      </c>
      <c r="D285" s="60"/>
      <c r="E285" s="60"/>
      <c r="F285" s="60"/>
      <c r="G285" s="60"/>
      <c r="H285" s="60"/>
      <c r="I285" s="60"/>
      <c r="J285" s="60"/>
      <c r="K285" s="60"/>
      <c r="L285" s="111"/>
      <c r="M285" s="69"/>
      <c r="N285" s="66"/>
      <c r="O285" s="66"/>
      <c r="P285" s="66"/>
      <c r="Q285" s="66"/>
      <c r="R285" s="66"/>
      <c r="S285" s="66"/>
      <c r="T285" s="66"/>
      <c r="U285" s="66"/>
      <c r="V285" s="66"/>
      <c r="W285" s="265"/>
      <c r="X285" s="234">
        <f t="shared" si="19"/>
        <v>0</v>
      </c>
    </row>
    <row r="286" spans="1:24" outlineLevel="1" x14ac:dyDescent="0.25">
      <c r="A286" s="777"/>
      <c r="B286" s="783"/>
      <c r="C286" s="122" t="s">
        <v>625</v>
      </c>
      <c r="D286" s="60"/>
      <c r="E286" s="60"/>
      <c r="F286" s="60"/>
      <c r="G286" s="60"/>
      <c r="H286" s="60"/>
      <c r="I286" s="60"/>
      <c r="J286" s="60"/>
      <c r="K286" s="60"/>
      <c r="L286" s="111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265"/>
      <c r="X286" s="234">
        <f t="shared" si="19"/>
        <v>0</v>
      </c>
    </row>
    <row r="287" spans="1:24" outlineLevel="1" x14ac:dyDescent="0.25">
      <c r="A287" s="777"/>
      <c r="B287" s="783"/>
      <c r="C287" s="122" t="s">
        <v>626</v>
      </c>
      <c r="D287" s="60"/>
      <c r="E287" s="60"/>
      <c r="F287" s="60"/>
      <c r="G287" s="60"/>
      <c r="H287" s="60"/>
      <c r="I287" s="60"/>
      <c r="J287" s="60"/>
      <c r="K287" s="60"/>
      <c r="L287" s="111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265"/>
      <c r="X287" s="234">
        <f t="shared" si="19"/>
        <v>0</v>
      </c>
    </row>
    <row r="288" spans="1:24" outlineLevel="1" x14ac:dyDescent="0.25">
      <c r="A288" s="777"/>
      <c r="B288" s="783"/>
      <c r="C288" s="122" t="s">
        <v>627</v>
      </c>
      <c r="D288" s="60"/>
      <c r="E288" s="60"/>
      <c r="F288" s="60"/>
      <c r="G288" s="60"/>
      <c r="H288" s="60"/>
      <c r="I288" s="60"/>
      <c r="J288" s="60"/>
      <c r="K288" s="60"/>
      <c r="L288" s="110"/>
      <c r="M288" s="69"/>
      <c r="N288" s="66"/>
      <c r="O288" s="66"/>
      <c r="P288" s="66"/>
      <c r="Q288" s="66"/>
      <c r="R288" s="66"/>
      <c r="S288" s="69"/>
      <c r="T288" s="69"/>
      <c r="U288" s="69"/>
      <c r="V288" s="69"/>
      <c r="W288" s="267"/>
      <c r="X288" s="234">
        <f t="shared" si="19"/>
        <v>0</v>
      </c>
    </row>
    <row r="289" spans="1:24" outlineLevel="1" x14ac:dyDescent="0.25">
      <c r="A289" s="777"/>
      <c r="B289" s="783"/>
      <c r="C289" s="122" t="s">
        <v>628</v>
      </c>
      <c r="D289" s="60"/>
      <c r="E289" s="60"/>
      <c r="F289" s="60"/>
      <c r="G289" s="60"/>
      <c r="H289" s="60"/>
      <c r="I289" s="60"/>
      <c r="J289" s="60"/>
      <c r="K289" s="60"/>
      <c r="L289" s="111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265"/>
      <c r="X289" s="234">
        <f t="shared" si="19"/>
        <v>0</v>
      </c>
    </row>
    <row r="290" spans="1:24" outlineLevel="1" x14ac:dyDescent="0.25">
      <c r="A290" s="777"/>
      <c r="B290" s="783"/>
      <c r="C290" s="122" t="s">
        <v>629</v>
      </c>
      <c r="D290" s="60"/>
      <c r="E290" s="60"/>
      <c r="F290" s="60"/>
      <c r="G290" s="60"/>
      <c r="H290" s="60"/>
      <c r="I290" s="60"/>
      <c r="J290" s="60"/>
      <c r="K290" s="60"/>
      <c r="L290" s="109"/>
      <c r="M290" s="69"/>
      <c r="N290" s="66"/>
      <c r="O290" s="66"/>
      <c r="P290" s="66"/>
      <c r="Q290" s="66"/>
      <c r="R290" s="66"/>
      <c r="S290" s="59"/>
      <c r="T290" s="59"/>
      <c r="U290" s="59"/>
      <c r="V290" s="59"/>
      <c r="W290" s="255"/>
      <c r="X290" s="234">
        <f t="shared" si="19"/>
        <v>0</v>
      </c>
    </row>
    <row r="291" spans="1:24" outlineLevel="1" x14ac:dyDescent="0.25">
      <c r="A291" s="777"/>
      <c r="B291" s="783"/>
      <c r="C291" s="122" t="s">
        <v>630</v>
      </c>
      <c r="D291" s="60"/>
      <c r="E291" s="60"/>
      <c r="F291" s="60"/>
      <c r="G291" s="60"/>
      <c r="H291" s="60"/>
      <c r="I291" s="60"/>
      <c r="J291" s="60"/>
      <c r="K291" s="60"/>
      <c r="L291" s="109"/>
      <c r="M291" s="66"/>
      <c r="N291" s="66"/>
      <c r="O291" s="66"/>
      <c r="P291" s="66"/>
      <c r="Q291" s="66"/>
      <c r="R291" s="66"/>
      <c r="S291" s="59"/>
      <c r="T291" s="59"/>
      <c r="U291" s="59"/>
      <c r="V291" s="59"/>
      <c r="W291" s="255"/>
      <c r="X291" s="234">
        <f t="shared" si="19"/>
        <v>0</v>
      </c>
    </row>
    <row r="292" spans="1:24" outlineLevel="1" x14ac:dyDescent="0.25">
      <c r="A292" s="777"/>
      <c r="B292" s="783"/>
      <c r="C292" s="122" t="s">
        <v>631</v>
      </c>
      <c r="D292" s="60"/>
      <c r="E292" s="60"/>
      <c r="F292" s="60"/>
      <c r="G292" s="60"/>
      <c r="H292" s="60"/>
      <c r="I292" s="60"/>
      <c r="J292" s="60"/>
      <c r="K292" s="60"/>
      <c r="L292" s="109"/>
      <c r="M292" s="69"/>
      <c r="N292" s="66"/>
      <c r="O292" s="66"/>
      <c r="P292" s="66"/>
      <c r="Q292" s="66"/>
      <c r="R292" s="66"/>
      <c r="S292" s="59"/>
      <c r="T292" s="59"/>
      <c r="U292" s="59"/>
      <c r="V292" s="59"/>
      <c r="W292" s="255"/>
      <c r="X292" s="234">
        <f t="shared" si="19"/>
        <v>0</v>
      </c>
    </row>
    <row r="293" spans="1:24" outlineLevel="1" x14ac:dyDescent="0.25">
      <c r="A293" s="777"/>
      <c r="B293" s="783"/>
      <c r="C293" s="122" t="s">
        <v>632</v>
      </c>
      <c r="D293" s="60"/>
      <c r="E293" s="60"/>
      <c r="F293" s="60"/>
      <c r="G293" s="60"/>
      <c r="H293" s="60"/>
      <c r="I293" s="60"/>
      <c r="J293" s="60"/>
      <c r="K293" s="60"/>
      <c r="L293" s="109"/>
      <c r="M293" s="66"/>
      <c r="N293" s="66"/>
      <c r="O293" s="66"/>
      <c r="P293" s="66"/>
      <c r="Q293" s="66"/>
      <c r="R293" s="66"/>
      <c r="S293" s="59"/>
      <c r="T293" s="59"/>
      <c r="U293" s="59"/>
      <c r="V293" s="59"/>
      <c r="W293" s="255"/>
      <c r="X293" s="234">
        <f t="shared" si="19"/>
        <v>0</v>
      </c>
    </row>
    <row r="294" spans="1:24" outlineLevel="1" x14ac:dyDescent="0.25">
      <c r="A294" s="777"/>
      <c r="B294" s="783"/>
      <c r="C294" s="122" t="s">
        <v>633</v>
      </c>
      <c r="D294" s="60"/>
      <c r="E294" s="60"/>
      <c r="F294" s="60"/>
      <c r="G294" s="60"/>
      <c r="H294" s="60"/>
      <c r="I294" s="60"/>
      <c r="J294" s="60"/>
      <c r="K294" s="60"/>
      <c r="L294" s="109"/>
      <c r="M294" s="66"/>
      <c r="N294" s="66"/>
      <c r="O294" s="66"/>
      <c r="P294" s="66"/>
      <c r="Q294" s="66"/>
      <c r="R294" s="66"/>
      <c r="S294" s="59"/>
      <c r="T294" s="59"/>
      <c r="U294" s="59"/>
      <c r="V294" s="59"/>
      <c r="W294" s="255"/>
      <c r="X294" s="234">
        <f t="shared" si="19"/>
        <v>0</v>
      </c>
    </row>
    <row r="295" spans="1:24" outlineLevel="1" x14ac:dyDescent="0.25">
      <c r="A295" s="777"/>
      <c r="B295" s="783"/>
      <c r="C295" s="122" t="s">
        <v>634</v>
      </c>
      <c r="D295" s="60"/>
      <c r="E295" s="60"/>
      <c r="F295" s="60"/>
      <c r="G295" s="60"/>
      <c r="H295" s="60"/>
      <c r="I295" s="60"/>
      <c r="J295" s="60"/>
      <c r="K295" s="60"/>
      <c r="L295" s="110"/>
      <c r="M295" s="69"/>
      <c r="N295" s="69"/>
      <c r="O295" s="66"/>
      <c r="P295" s="66"/>
      <c r="Q295" s="66"/>
      <c r="R295" s="66"/>
      <c r="S295" s="59"/>
      <c r="T295" s="59"/>
      <c r="U295" s="59"/>
      <c r="V295" s="59"/>
      <c r="W295" s="255"/>
      <c r="X295" s="234">
        <f t="shared" si="19"/>
        <v>0</v>
      </c>
    </row>
    <row r="296" spans="1:24" ht="15.75" outlineLevel="1" thickBot="1" x14ac:dyDescent="0.3">
      <c r="A296" s="777"/>
      <c r="B296" s="784"/>
      <c r="C296" s="124" t="s">
        <v>635</v>
      </c>
      <c r="D296" s="37"/>
      <c r="E296" s="37"/>
      <c r="F296" s="37"/>
      <c r="G296" s="37"/>
      <c r="H296" s="37"/>
      <c r="I296" s="37"/>
      <c r="J296" s="37"/>
      <c r="K296" s="37"/>
      <c r="L296" s="271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272"/>
      <c r="X296" s="235">
        <f t="shared" si="19"/>
        <v>0</v>
      </c>
    </row>
    <row r="297" spans="1:24" outlineLevel="1" x14ac:dyDescent="0.25">
      <c r="A297" s="777"/>
      <c r="B297" s="782" t="s">
        <v>636</v>
      </c>
      <c r="C297" s="119" t="s">
        <v>637</v>
      </c>
      <c r="D297" s="33"/>
      <c r="E297" s="33"/>
      <c r="F297" s="33"/>
      <c r="G297" s="33"/>
      <c r="H297" s="33"/>
      <c r="I297" s="33"/>
      <c r="J297" s="33"/>
      <c r="K297" s="33"/>
      <c r="L297" s="263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264"/>
      <c r="X297" s="236">
        <f t="shared" si="19"/>
        <v>0</v>
      </c>
    </row>
    <row r="298" spans="1:24" outlineLevel="1" x14ac:dyDescent="0.25">
      <c r="A298" s="777"/>
      <c r="B298" s="783"/>
      <c r="C298" s="122" t="s">
        <v>638</v>
      </c>
      <c r="D298" s="60"/>
      <c r="E298" s="60"/>
      <c r="F298" s="60"/>
      <c r="G298" s="60"/>
      <c r="H298" s="60"/>
      <c r="I298" s="60"/>
      <c r="J298" s="60"/>
      <c r="K298" s="60"/>
      <c r="L298" s="111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265"/>
      <c r="X298" s="234">
        <f t="shared" si="19"/>
        <v>0</v>
      </c>
    </row>
    <row r="299" spans="1:24" outlineLevel="1" x14ac:dyDescent="0.25">
      <c r="A299" s="777"/>
      <c r="B299" s="783"/>
      <c r="C299" s="122" t="s">
        <v>639</v>
      </c>
      <c r="D299" s="60"/>
      <c r="E299" s="60"/>
      <c r="F299" s="60"/>
      <c r="G299" s="60"/>
      <c r="H299" s="60"/>
      <c r="I299" s="60"/>
      <c r="J299" s="60"/>
      <c r="K299" s="60"/>
      <c r="L299" s="111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265"/>
      <c r="X299" s="234">
        <f t="shared" si="19"/>
        <v>0</v>
      </c>
    </row>
    <row r="300" spans="1:24" outlineLevel="1" x14ac:dyDescent="0.25">
      <c r="A300" s="777"/>
      <c r="B300" s="783"/>
      <c r="C300" s="121" t="s">
        <v>640</v>
      </c>
      <c r="D300" s="60"/>
      <c r="E300" s="60"/>
      <c r="F300" s="60"/>
      <c r="G300" s="60"/>
      <c r="H300" s="60"/>
      <c r="I300" s="60"/>
      <c r="J300" s="60"/>
      <c r="K300" s="60"/>
      <c r="L300" s="111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265"/>
      <c r="X300" s="234">
        <f t="shared" si="19"/>
        <v>0</v>
      </c>
    </row>
    <row r="301" spans="1:24" outlineLevel="1" x14ac:dyDescent="0.25">
      <c r="A301" s="777"/>
      <c r="B301" s="783"/>
      <c r="C301" s="122" t="s">
        <v>641</v>
      </c>
      <c r="D301" s="60"/>
      <c r="E301" s="60"/>
      <c r="F301" s="60"/>
      <c r="G301" s="60"/>
      <c r="H301" s="60"/>
      <c r="I301" s="60"/>
      <c r="J301" s="60"/>
      <c r="K301" s="60"/>
      <c r="L301" s="111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265"/>
      <c r="X301" s="234">
        <f t="shared" si="19"/>
        <v>0</v>
      </c>
    </row>
    <row r="302" spans="1:24" outlineLevel="1" x14ac:dyDescent="0.25">
      <c r="A302" s="777"/>
      <c r="B302" s="783"/>
      <c r="C302" s="122" t="s">
        <v>642</v>
      </c>
      <c r="D302" s="60"/>
      <c r="E302" s="60"/>
      <c r="F302" s="60"/>
      <c r="G302" s="60"/>
      <c r="H302" s="60"/>
      <c r="I302" s="60"/>
      <c r="J302" s="60"/>
      <c r="K302" s="60"/>
      <c r="L302" s="111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265"/>
      <c r="X302" s="234">
        <f t="shared" si="19"/>
        <v>0</v>
      </c>
    </row>
    <row r="303" spans="1:24" ht="15.75" outlineLevel="1" thickBot="1" x14ac:dyDescent="0.3">
      <c r="A303" s="777"/>
      <c r="B303" s="784"/>
      <c r="C303" s="125" t="s">
        <v>165</v>
      </c>
      <c r="D303" s="37"/>
      <c r="E303" s="37"/>
      <c r="F303" s="37"/>
      <c r="G303" s="37"/>
      <c r="H303" s="37"/>
      <c r="I303" s="37"/>
      <c r="J303" s="37"/>
      <c r="K303" s="37"/>
      <c r="L303" s="271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235">
        <f t="shared" si="19"/>
        <v>0</v>
      </c>
    </row>
    <row r="304" spans="1:24" outlineLevel="1" x14ac:dyDescent="0.25">
      <c r="A304" s="777"/>
      <c r="B304" s="779" t="s">
        <v>643</v>
      </c>
      <c r="C304" s="119" t="s">
        <v>644</v>
      </c>
      <c r="D304" s="33"/>
      <c r="E304" s="33"/>
      <c r="F304" s="33"/>
      <c r="G304" s="33"/>
      <c r="H304" s="33"/>
      <c r="I304" s="33"/>
      <c r="J304" s="33"/>
      <c r="K304" s="33"/>
      <c r="L304" s="724"/>
      <c r="M304" s="725"/>
      <c r="N304" s="725"/>
      <c r="O304" s="725"/>
      <c r="P304" s="725"/>
      <c r="Q304" s="725"/>
      <c r="R304" s="725"/>
      <c r="S304" s="725"/>
      <c r="T304" s="725"/>
      <c r="U304" s="725"/>
      <c r="V304" s="725"/>
      <c r="W304" s="726"/>
      <c r="X304" s="240">
        <f t="shared" si="19"/>
        <v>0</v>
      </c>
    </row>
    <row r="305" spans="1:24" outlineLevel="1" x14ac:dyDescent="0.25">
      <c r="A305" s="777"/>
      <c r="B305" s="780"/>
      <c r="C305" s="122" t="s">
        <v>645</v>
      </c>
      <c r="D305" s="60"/>
      <c r="E305" s="60"/>
      <c r="F305" s="60"/>
      <c r="G305" s="60"/>
      <c r="H305" s="60"/>
      <c r="I305" s="60"/>
      <c r="J305" s="60"/>
      <c r="K305" s="60"/>
      <c r="L305" s="268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269"/>
      <c r="X305" s="237">
        <f t="shared" si="19"/>
        <v>0</v>
      </c>
    </row>
    <row r="306" spans="1:24" outlineLevel="1" x14ac:dyDescent="0.25">
      <c r="A306" s="777"/>
      <c r="B306" s="780"/>
      <c r="C306" s="122" t="s">
        <v>646</v>
      </c>
      <c r="D306" s="60"/>
      <c r="E306" s="60"/>
      <c r="F306" s="60"/>
      <c r="G306" s="60"/>
      <c r="H306" s="60"/>
      <c r="I306" s="60"/>
      <c r="J306" s="60"/>
      <c r="K306" s="60"/>
      <c r="L306" s="268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269"/>
      <c r="X306" s="237">
        <f t="shared" si="19"/>
        <v>0</v>
      </c>
    </row>
    <row r="307" spans="1:24" outlineLevel="1" x14ac:dyDescent="0.25">
      <c r="A307" s="777"/>
      <c r="B307" s="780"/>
      <c r="C307" s="122" t="s">
        <v>647</v>
      </c>
      <c r="D307" s="60"/>
      <c r="E307" s="60"/>
      <c r="F307" s="60"/>
      <c r="G307" s="60"/>
      <c r="H307" s="60"/>
      <c r="I307" s="60"/>
      <c r="J307" s="60"/>
      <c r="K307" s="60"/>
      <c r="L307" s="268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269"/>
      <c r="X307" s="237">
        <f t="shared" si="19"/>
        <v>0</v>
      </c>
    </row>
    <row r="308" spans="1:24" outlineLevel="1" x14ac:dyDescent="0.25">
      <c r="A308" s="777"/>
      <c r="B308" s="780"/>
      <c r="C308" s="122" t="s">
        <v>648</v>
      </c>
      <c r="D308" s="60"/>
      <c r="E308" s="60"/>
      <c r="F308" s="60"/>
      <c r="G308" s="60"/>
      <c r="H308" s="60"/>
      <c r="I308" s="60"/>
      <c r="J308" s="60"/>
      <c r="K308" s="60"/>
      <c r="L308" s="268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269"/>
      <c r="X308" s="237">
        <f t="shared" si="19"/>
        <v>0</v>
      </c>
    </row>
    <row r="309" spans="1:24" outlineLevel="1" x14ac:dyDescent="0.25">
      <c r="A309" s="777"/>
      <c r="B309" s="780"/>
      <c r="C309" s="122" t="s">
        <v>649</v>
      </c>
      <c r="D309" s="60"/>
      <c r="E309" s="60"/>
      <c r="F309" s="60"/>
      <c r="G309" s="60"/>
      <c r="H309" s="60"/>
      <c r="I309" s="60"/>
      <c r="J309" s="60"/>
      <c r="K309" s="60"/>
      <c r="L309" s="268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269"/>
      <c r="X309" s="237">
        <f t="shared" si="19"/>
        <v>0</v>
      </c>
    </row>
    <row r="310" spans="1:24" outlineLevel="1" x14ac:dyDescent="0.25">
      <c r="A310" s="777"/>
      <c r="B310" s="780"/>
      <c r="C310" s="122" t="s">
        <v>650</v>
      </c>
      <c r="D310" s="60"/>
      <c r="E310" s="60"/>
      <c r="F310" s="60"/>
      <c r="G310" s="60"/>
      <c r="H310" s="60"/>
      <c r="I310" s="60"/>
      <c r="J310" s="60"/>
      <c r="K310" s="60"/>
      <c r="L310" s="268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269"/>
      <c r="X310" s="237">
        <f t="shared" si="19"/>
        <v>0</v>
      </c>
    </row>
    <row r="311" spans="1:24" outlineLevel="1" x14ac:dyDescent="0.25">
      <c r="A311" s="777"/>
      <c r="B311" s="780"/>
      <c r="C311" s="122" t="s">
        <v>651</v>
      </c>
      <c r="D311" s="60"/>
      <c r="E311" s="60"/>
      <c r="F311" s="60"/>
      <c r="G311" s="60"/>
      <c r="H311" s="60"/>
      <c r="I311" s="60"/>
      <c r="J311" s="60"/>
      <c r="K311" s="60"/>
      <c r="L311" s="268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269"/>
      <c r="X311" s="237">
        <f t="shared" si="19"/>
        <v>0</v>
      </c>
    </row>
    <row r="312" spans="1:24" outlineLevel="1" x14ac:dyDescent="0.25">
      <c r="A312" s="777"/>
      <c r="B312" s="780"/>
      <c r="C312" s="122" t="s">
        <v>652</v>
      </c>
      <c r="D312" s="60"/>
      <c r="E312" s="60"/>
      <c r="F312" s="60"/>
      <c r="G312" s="60"/>
      <c r="H312" s="60"/>
      <c r="I312" s="60"/>
      <c r="J312" s="60"/>
      <c r="K312" s="60"/>
      <c r="L312" s="268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269"/>
      <c r="X312" s="237">
        <f t="shared" si="19"/>
        <v>0</v>
      </c>
    </row>
    <row r="313" spans="1:24" ht="15.75" outlineLevel="1" thickBot="1" x14ac:dyDescent="0.3">
      <c r="A313" s="777"/>
      <c r="B313" s="781"/>
      <c r="C313" s="124" t="s">
        <v>653</v>
      </c>
      <c r="D313" s="37"/>
      <c r="E313" s="37"/>
      <c r="F313" s="37"/>
      <c r="G313" s="37"/>
      <c r="H313" s="37"/>
      <c r="I313" s="37"/>
      <c r="J313" s="37"/>
      <c r="K313" s="37"/>
      <c r="L313" s="271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272"/>
      <c r="X313" s="235">
        <f t="shared" ref="X313:X338" si="20">SUM(L313:W313)</f>
        <v>0</v>
      </c>
    </row>
    <row r="314" spans="1:24" outlineLevel="1" x14ac:dyDescent="0.25">
      <c r="A314" s="777"/>
      <c r="B314" s="779" t="s">
        <v>654</v>
      </c>
      <c r="C314" s="119" t="s">
        <v>655</v>
      </c>
      <c r="D314" s="33"/>
      <c r="E314" s="33"/>
      <c r="F314" s="33"/>
      <c r="G314" s="33"/>
      <c r="H314" s="33"/>
      <c r="I314" s="33"/>
      <c r="J314" s="33"/>
      <c r="K314" s="33"/>
      <c r="L314" s="724"/>
      <c r="M314" s="725"/>
      <c r="N314" s="725"/>
      <c r="O314" s="725"/>
      <c r="P314" s="725"/>
      <c r="Q314" s="725"/>
      <c r="R314" s="725"/>
      <c r="S314" s="725"/>
      <c r="T314" s="725"/>
      <c r="U314" s="725"/>
      <c r="V314" s="725"/>
      <c r="W314" s="726"/>
      <c r="X314" s="240">
        <f t="shared" si="20"/>
        <v>0</v>
      </c>
    </row>
    <row r="315" spans="1:24" outlineLevel="1" x14ac:dyDescent="0.25">
      <c r="A315" s="777"/>
      <c r="B315" s="780"/>
      <c r="C315" s="122" t="s">
        <v>656</v>
      </c>
      <c r="D315" s="60"/>
      <c r="E315" s="60"/>
      <c r="F315" s="60"/>
      <c r="G315" s="60"/>
      <c r="H315" s="60"/>
      <c r="I315" s="60"/>
      <c r="J315" s="60"/>
      <c r="K315" s="60"/>
      <c r="L315" s="268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269"/>
      <c r="X315" s="237">
        <f t="shared" si="20"/>
        <v>0</v>
      </c>
    </row>
    <row r="316" spans="1:24" outlineLevel="1" x14ac:dyDescent="0.25">
      <c r="A316" s="777"/>
      <c r="B316" s="780"/>
      <c r="C316" s="122" t="s">
        <v>657</v>
      </c>
      <c r="D316" s="60"/>
      <c r="E316" s="60"/>
      <c r="F316" s="60"/>
      <c r="G316" s="60"/>
      <c r="H316" s="60"/>
      <c r="I316" s="60"/>
      <c r="J316" s="60"/>
      <c r="K316" s="60"/>
      <c r="L316" s="268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269"/>
      <c r="X316" s="237">
        <f t="shared" si="20"/>
        <v>0</v>
      </c>
    </row>
    <row r="317" spans="1:24" outlineLevel="1" x14ac:dyDescent="0.25">
      <c r="A317" s="777"/>
      <c r="B317" s="780"/>
      <c r="C317" s="122" t="s">
        <v>658</v>
      </c>
      <c r="D317" s="60"/>
      <c r="E317" s="60"/>
      <c r="F317" s="60"/>
      <c r="G317" s="60"/>
      <c r="H317" s="60"/>
      <c r="I317" s="60"/>
      <c r="J317" s="60"/>
      <c r="K317" s="60"/>
      <c r="L317" s="268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269"/>
      <c r="X317" s="237">
        <f t="shared" si="20"/>
        <v>0</v>
      </c>
    </row>
    <row r="318" spans="1:24" outlineLevel="1" x14ac:dyDescent="0.25">
      <c r="A318" s="777"/>
      <c r="B318" s="780"/>
      <c r="C318" s="122" t="s">
        <v>659</v>
      </c>
      <c r="D318" s="60"/>
      <c r="E318" s="60"/>
      <c r="F318" s="60"/>
      <c r="G318" s="60"/>
      <c r="H318" s="60"/>
      <c r="I318" s="60"/>
      <c r="J318" s="60"/>
      <c r="K318" s="60"/>
      <c r="L318" s="268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269"/>
      <c r="X318" s="237">
        <f t="shared" si="20"/>
        <v>0</v>
      </c>
    </row>
    <row r="319" spans="1:24" ht="15.75" outlineLevel="1" thickBot="1" x14ac:dyDescent="0.3">
      <c r="A319" s="777"/>
      <c r="B319" s="781"/>
      <c r="C319" s="124" t="s">
        <v>660</v>
      </c>
      <c r="D319" s="37"/>
      <c r="E319" s="37"/>
      <c r="F319" s="37"/>
      <c r="G319" s="37"/>
      <c r="H319" s="37"/>
      <c r="I319" s="37"/>
      <c r="J319" s="37"/>
      <c r="K319" s="37"/>
      <c r="L319" s="271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272"/>
      <c r="X319" s="235">
        <f t="shared" si="20"/>
        <v>0</v>
      </c>
    </row>
    <row r="320" spans="1:24" outlineLevel="1" x14ac:dyDescent="0.25">
      <c r="A320" s="777"/>
      <c r="B320" s="779" t="s">
        <v>661</v>
      </c>
      <c r="C320" s="119" t="s">
        <v>662</v>
      </c>
      <c r="D320" s="33"/>
      <c r="E320" s="33"/>
      <c r="F320" s="33"/>
      <c r="G320" s="33"/>
      <c r="H320" s="33"/>
      <c r="I320" s="33"/>
      <c r="J320" s="33"/>
      <c r="K320" s="33"/>
      <c r="L320" s="724"/>
      <c r="M320" s="725"/>
      <c r="N320" s="725"/>
      <c r="O320" s="725"/>
      <c r="P320" s="725"/>
      <c r="Q320" s="725"/>
      <c r="R320" s="725"/>
      <c r="S320" s="725"/>
      <c r="T320" s="725"/>
      <c r="U320" s="725"/>
      <c r="V320" s="725"/>
      <c r="W320" s="726"/>
      <c r="X320" s="240">
        <f t="shared" si="20"/>
        <v>0</v>
      </c>
    </row>
    <row r="321" spans="1:24" outlineLevel="1" x14ac:dyDescent="0.25">
      <c r="A321" s="777"/>
      <c r="B321" s="780"/>
      <c r="C321" s="122" t="s">
        <v>663</v>
      </c>
      <c r="D321" s="60"/>
      <c r="E321" s="60"/>
      <c r="F321" s="60"/>
      <c r="G321" s="60"/>
      <c r="H321" s="60"/>
      <c r="I321" s="60"/>
      <c r="J321" s="60"/>
      <c r="K321" s="60"/>
      <c r="L321" s="268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269"/>
      <c r="X321" s="237">
        <f t="shared" si="20"/>
        <v>0</v>
      </c>
    </row>
    <row r="322" spans="1:24" outlineLevel="1" x14ac:dyDescent="0.25">
      <c r="A322" s="777"/>
      <c r="B322" s="780"/>
      <c r="C322" s="122" t="s">
        <v>664</v>
      </c>
      <c r="D322" s="60"/>
      <c r="E322" s="60"/>
      <c r="F322" s="60"/>
      <c r="G322" s="60"/>
      <c r="H322" s="60"/>
      <c r="I322" s="60"/>
      <c r="J322" s="60"/>
      <c r="K322" s="60"/>
      <c r="L322" s="268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269"/>
      <c r="X322" s="237">
        <f t="shared" si="20"/>
        <v>0</v>
      </c>
    </row>
    <row r="323" spans="1:24" outlineLevel="1" x14ac:dyDescent="0.25">
      <c r="A323" s="777"/>
      <c r="B323" s="780"/>
      <c r="C323" s="122" t="s">
        <v>665</v>
      </c>
      <c r="D323" s="60"/>
      <c r="E323" s="60"/>
      <c r="F323" s="60"/>
      <c r="G323" s="60"/>
      <c r="H323" s="60"/>
      <c r="I323" s="60"/>
      <c r="J323" s="60"/>
      <c r="K323" s="60"/>
      <c r="L323" s="268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269"/>
      <c r="X323" s="237">
        <f t="shared" si="20"/>
        <v>0</v>
      </c>
    </row>
    <row r="324" spans="1:24" outlineLevel="1" x14ac:dyDescent="0.25">
      <c r="A324" s="777"/>
      <c r="B324" s="780"/>
      <c r="C324" s="122" t="s">
        <v>666</v>
      </c>
      <c r="D324" s="60"/>
      <c r="E324" s="60"/>
      <c r="F324" s="60"/>
      <c r="G324" s="60"/>
      <c r="H324" s="60"/>
      <c r="I324" s="60"/>
      <c r="J324" s="60"/>
      <c r="K324" s="60"/>
      <c r="L324" s="268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269"/>
      <c r="X324" s="237">
        <f t="shared" si="20"/>
        <v>0</v>
      </c>
    </row>
    <row r="325" spans="1:24" outlineLevel="1" x14ac:dyDescent="0.25">
      <c r="A325" s="777"/>
      <c r="B325" s="780"/>
      <c r="C325" s="122" t="s">
        <v>667</v>
      </c>
      <c r="D325" s="60"/>
      <c r="E325" s="60"/>
      <c r="F325" s="60"/>
      <c r="G325" s="60"/>
      <c r="H325" s="60"/>
      <c r="I325" s="60"/>
      <c r="J325" s="60"/>
      <c r="K325" s="60"/>
      <c r="L325" s="268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269"/>
      <c r="X325" s="237">
        <f t="shared" si="20"/>
        <v>0</v>
      </c>
    </row>
    <row r="326" spans="1:24" ht="15.75" outlineLevel="1" thickBot="1" x14ac:dyDescent="0.3">
      <c r="A326" s="777"/>
      <c r="B326" s="781"/>
      <c r="C326" s="124" t="s">
        <v>668</v>
      </c>
      <c r="D326" s="37"/>
      <c r="E326" s="37"/>
      <c r="F326" s="37"/>
      <c r="G326" s="37"/>
      <c r="H326" s="37"/>
      <c r="I326" s="37"/>
      <c r="J326" s="37"/>
      <c r="K326" s="37"/>
      <c r="L326" s="271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272"/>
      <c r="X326" s="235">
        <f t="shared" si="20"/>
        <v>0</v>
      </c>
    </row>
    <row r="327" spans="1:24" outlineLevel="1" x14ac:dyDescent="0.25">
      <c r="A327" s="777"/>
      <c r="B327" s="780" t="s">
        <v>669</v>
      </c>
      <c r="C327" s="123" t="s">
        <v>670</v>
      </c>
      <c r="D327" s="53"/>
      <c r="E327" s="53"/>
      <c r="F327" s="53"/>
      <c r="G327" s="53"/>
      <c r="H327" s="53"/>
      <c r="I327" s="53"/>
      <c r="J327" s="53"/>
      <c r="K327" s="53"/>
      <c r="L327" s="727"/>
      <c r="M327" s="728"/>
      <c r="N327" s="728"/>
      <c r="O327" s="728"/>
      <c r="P327" s="728"/>
      <c r="Q327" s="728"/>
      <c r="R327" s="728"/>
      <c r="S327" s="728"/>
      <c r="T327" s="728"/>
      <c r="U327" s="728"/>
      <c r="V327" s="728"/>
      <c r="W327" s="729"/>
      <c r="X327" s="241">
        <f t="shared" si="20"/>
        <v>0</v>
      </c>
    </row>
    <row r="328" spans="1:24" outlineLevel="1" x14ac:dyDescent="0.25">
      <c r="A328" s="777"/>
      <c r="B328" s="780"/>
      <c r="C328" s="122" t="s">
        <v>671</v>
      </c>
      <c r="D328" s="60"/>
      <c r="E328" s="60"/>
      <c r="F328" s="60"/>
      <c r="G328" s="60"/>
      <c r="H328" s="60"/>
      <c r="I328" s="60"/>
      <c r="J328" s="60"/>
      <c r="K328" s="60"/>
      <c r="L328" s="268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269"/>
      <c r="X328" s="237">
        <f t="shared" si="20"/>
        <v>0</v>
      </c>
    </row>
    <row r="329" spans="1:24" outlineLevel="1" x14ac:dyDescent="0.25">
      <c r="A329" s="777"/>
      <c r="B329" s="780"/>
      <c r="C329" s="122" t="s">
        <v>672</v>
      </c>
      <c r="D329" s="60"/>
      <c r="E329" s="60"/>
      <c r="F329" s="60"/>
      <c r="G329" s="60"/>
      <c r="H329" s="60"/>
      <c r="I329" s="60"/>
      <c r="J329" s="60"/>
      <c r="K329" s="60"/>
      <c r="L329" s="268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269"/>
      <c r="X329" s="237">
        <f t="shared" si="20"/>
        <v>0</v>
      </c>
    </row>
    <row r="330" spans="1:24" outlineLevel="1" x14ac:dyDescent="0.25">
      <c r="A330" s="777"/>
      <c r="B330" s="780"/>
      <c r="C330" s="122" t="s">
        <v>673</v>
      </c>
      <c r="D330" s="60"/>
      <c r="E330" s="60"/>
      <c r="F330" s="60"/>
      <c r="G330" s="60"/>
      <c r="H330" s="60"/>
      <c r="I330" s="60"/>
      <c r="J330" s="60"/>
      <c r="K330" s="60"/>
      <c r="L330" s="268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269"/>
      <c r="X330" s="237">
        <f t="shared" si="20"/>
        <v>0</v>
      </c>
    </row>
    <row r="331" spans="1:24" outlineLevel="1" x14ac:dyDescent="0.25">
      <c r="A331" s="777"/>
      <c r="B331" s="780"/>
      <c r="C331" s="122" t="s">
        <v>674</v>
      </c>
      <c r="D331" s="60"/>
      <c r="E331" s="60"/>
      <c r="F331" s="60"/>
      <c r="G331" s="60"/>
      <c r="H331" s="60"/>
      <c r="I331" s="60"/>
      <c r="J331" s="60"/>
      <c r="K331" s="60"/>
      <c r="L331" s="268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269"/>
      <c r="X331" s="237">
        <f t="shared" si="20"/>
        <v>0</v>
      </c>
    </row>
    <row r="332" spans="1:24" outlineLevel="1" x14ac:dyDescent="0.25">
      <c r="A332" s="777"/>
      <c r="B332" s="780"/>
      <c r="C332" s="122" t="s">
        <v>675</v>
      </c>
      <c r="D332" s="60"/>
      <c r="E332" s="60"/>
      <c r="F332" s="60"/>
      <c r="G332" s="60"/>
      <c r="H332" s="60"/>
      <c r="I332" s="60"/>
      <c r="J332" s="60"/>
      <c r="K332" s="60"/>
      <c r="L332" s="268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269"/>
      <c r="X332" s="237">
        <f t="shared" si="20"/>
        <v>0</v>
      </c>
    </row>
    <row r="333" spans="1:24" outlineLevel="1" x14ac:dyDescent="0.25">
      <c r="A333" s="777"/>
      <c r="B333" s="780"/>
      <c r="C333" s="121" t="s">
        <v>676</v>
      </c>
      <c r="D333" s="60"/>
      <c r="E333" s="60"/>
      <c r="F333" s="60"/>
      <c r="G333" s="60"/>
      <c r="H333" s="60"/>
      <c r="I333" s="60"/>
      <c r="J333" s="60"/>
      <c r="K333" s="60"/>
      <c r="L333" s="268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269"/>
      <c r="X333" s="237">
        <f t="shared" si="20"/>
        <v>0</v>
      </c>
    </row>
    <row r="334" spans="1:24" outlineLevel="1" x14ac:dyDescent="0.25">
      <c r="A334" s="777"/>
      <c r="B334" s="780"/>
      <c r="C334" s="122" t="s">
        <v>677</v>
      </c>
      <c r="D334" s="60"/>
      <c r="E334" s="60"/>
      <c r="F334" s="60"/>
      <c r="G334" s="60"/>
      <c r="H334" s="60"/>
      <c r="I334" s="60"/>
      <c r="J334" s="60"/>
      <c r="K334" s="60"/>
      <c r="L334" s="268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269"/>
      <c r="X334" s="237">
        <f t="shared" si="20"/>
        <v>0</v>
      </c>
    </row>
    <row r="335" spans="1:24" outlineLevel="1" x14ac:dyDescent="0.25">
      <c r="A335" s="777"/>
      <c r="B335" s="780"/>
      <c r="C335" s="122" t="s">
        <v>678</v>
      </c>
      <c r="D335" s="60"/>
      <c r="E335" s="60"/>
      <c r="F335" s="60"/>
      <c r="G335" s="60"/>
      <c r="H335" s="60"/>
      <c r="I335" s="60"/>
      <c r="J335" s="60"/>
      <c r="K335" s="60"/>
      <c r="L335" s="268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269"/>
      <c r="X335" s="237">
        <f t="shared" si="20"/>
        <v>0</v>
      </c>
    </row>
    <row r="336" spans="1:24" outlineLevel="1" x14ac:dyDescent="0.25">
      <c r="A336" s="777"/>
      <c r="B336" s="780"/>
      <c r="C336" s="122" t="s">
        <v>679</v>
      </c>
      <c r="D336" s="60"/>
      <c r="E336" s="60"/>
      <c r="F336" s="60"/>
      <c r="G336" s="60"/>
      <c r="H336" s="60"/>
      <c r="I336" s="60"/>
      <c r="J336" s="60"/>
      <c r="K336" s="60"/>
      <c r="L336" s="268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269"/>
      <c r="X336" s="237">
        <f t="shared" si="20"/>
        <v>0</v>
      </c>
    </row>
    <row r="337" spans="1:24" outlineLevel="1" x14ac:dyDescent="0.25">
      <c r="A337" s="777"/>
      <c r="B337" s="780"/>
      <c r="C337" s="121" t="s">
        <v>73</v>
      </c>
      <c r="D337" s="60"/>
      <c r="E337" s="60"/>
      <c r="F337" s="60"/>
      <c r="G337" s="60"/>
      <c r="H337" s="60">
        <v>1</v>
      </c>
      <c r="I337" s="60">
        <v>1</v>
      </c>
      <c r="J337" s="60">
        <v>1</v>
      </c>
      <c r="K337" s="60"/>
      <c r="L337" s="111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265"/>
      <c r="X337" s="234">
        <f t="shared" si="20"/>
        <v>0</v>
      </c>
    </row>
    <row r="338" spans="1:24" ht="15.75" outlineLevel="1" thickBot="1" x14ac:dyDescent="0.3">
      <c r="A338" s="778"/>
      <c r="B338" s="781"/>
      <c r="C338" s="120" t="s">
        <v>680</v>
      </c>
      <c r="D338" s="29"/>
      <c r="E338" s="29"/>
      <c r="F338" s="29"/>
      <c r="G338" s="29"/>
      <c r="H338" s="29"/>
      <c r="I338" s="29"/>
      <c r="J338" s="29"/>
      <c r="K338" s="29"/>
      <c r="L338" s="271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272"/>
      <c r="X338" s="235">
        <f t="shared" si="20"/>
        <v>0</v>
      </c>
    </row>
    <row r="339" spans="1:24" ht="15.75" thickBot="1" x14ac:dyDescent="0.3">
      <c r="A339" s="760" t="s">
        <v>681</v>
      </c>
      <c r="B339" s="761"/>
      <c r="C339" s="761"/>
      <c r="D339" s="22">
        <v>0</v>
      </c>
      <c r="E339" s="22">
        <v>0</v>
      </c>
      <c r="F339" s="22">
        <v>0</v>
      </c>
      <c r="G339" s="22">
        <v>0</v>
      </c>
      <c r="H339" s="22">
        <v>1</v>
      </c>
      <c r="I339" s="22">
        <v>1</v>
      </c>
      <c r="J339" s="22">
        <v>1</v>
      </c>
      <c r="K339" s="22">
        <v>0</v>
      </c>
      <c r="L339" s="22">
        <f t="shared" ref="L339:X339" si="21">SUM(L249:L338)</f>
        <v>0</v>
      </c>
      <c r="M339" s="22">
        <f t="shared" si="21"/>
        <v>0</v>
      </c>
      <c r="N339" s="22">
        <f t="shared" si="21"/>
        <v>0</v>
      </c>
      <c r="O339" s="22">
        <f t="shared" si="21"/>
        <v>0</v>
      </c>
      <c r="P339" s="22">
        <f t="shared" si="21"/>
        <v>0</v>
      </c>
      <c r="Q339" s="22">
        <f t="shared" si="21"/>
        <v>0</v>
      </c>
      <c r="R339" s="22">
        <f t="shared" si="21"/>
        <v>0</v>
      </c>
      <c r="S339" s="22">
        <f t="shared" si="21"/>
        <v>0</v>
      </c>
      <c r="T339" s="22">
        <f t="shared" si="21"/>
        <v>0</v>
      </c>
      <c r="U339" s="22">
        <f t="shared" si="21"/>
        <v>0</v>
      </c>
      <c r="V339" s="22">
        <f t="shared" si="21"/>
        <v>0</v>
      </c>
      <c r="W339" s="22">
        <f t="shared" si="21"/>
        <v>0</v>
      </c>
      <c r="X339" s="63">
        <f t="shared" si="21"/>
        <v>0</v>
      </c>
    </row>
    <row r="340" spans="1:24" outlineLevel="1" x14ac:dyDescent="0.25">
      <c r="A340" s="788" t="s">
        <v>163</v>
      </c>
      <c r="B340" s="791" t="s">
        <v>682</v>
      </c>
      <c r="C340" s="119" t="s">
        <v>683</v>
      </c>
      <c r="D340" s="33"/>
      <c r="E340" s="33"/>
      <c r="F340" s="33"/>
      <c r="G340" s="33"/>
      <c r="H340" s="33"/>
      <c r="I340" s="33"/>
      <c r="J340" s="33"/>
      <c r="K340" s="33"/>
      <c r="L340" s="275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276"/>
      <c r="X340" s="236">
        <f t="shared" ref="X340:X384" si="22">SUM(L340:W340)</f>
        <v>0</v>
      </c>
    </row>
    <row r="341" spans="1:24" outlineLevel="1" x14ac:dyDescent="0.25">
      <c r="A341" s="789"/>
      <c r="B341" s="792"/>
      <c r="C341" s="115" t="s">
        <v>684</v>
      </c>
      <c r="D341" s="60"/>
      <c r="E341" s="60"/>
      <c r="F341" s="60"/>
      <c r="G341" s="60"/>
      <c r="H341" s="60"/>
      <c r="I341" s="60"/>
      <c r="J341" s="60"/>
      <c r="K341" s="60"/>
      <c r="L341" s="10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255"/>
      <c r="X341" s="234">
        <f t="shared" si="22"/>
        <v>0</v>
      </c>
    </row>
    <row r="342" spans="1:24" outlineLevel="1" x14ac:dyDescent="0.25">
      <c r="A342" s="789"/>
      <c r="B342" s="792"/>
      <c r="C342" s="117" t="s">
        <v>685</v>
      </c>
      <c r="D342" s="60"/>
      <c r="E342" s="60"/>
      <c r="F342" s="60"/>
      <c r="G342" s="60"/>
      <c r="H342" s="60"/>
      <c r="I342" s="60"/>
      <c r="J342" s="60"/>
      <c r="K342" s="60"/>
      <c r="L342" s="10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255"/>
      <c r="X342" s="234">
        <f t="shared" si="22"/>
        <v>0</v>
      </c>
    </row>
    <row r="343" spans="1:24" outlineLevel="1" x14ac:dyDescent="0.25">
      <c r="A343" s="789"/>
      <c r="B343" s="792"/>
      <c r="C343" s="115" t="s">
        <v>686</v>
      </c>
      <c r="D343" s="60"/>
      <c r="E343" s="60"/>
      <c r="F343" s="60"/>
      <c r="G343" s="60"/>
      <c r="H343" s="60"/>
      <c r="I343" s="60"/>
      <c r="J343" s="60"/>
      <c r="K343" s="60"/>
      <c r="L343" s="10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255"/>
      <c r="X343" s="234">
        <f t="shared" si="22"/>
        <v>0</v>
      </c>
    </row>
    <row r="344" spans="1:24" outlineLevel="1" x14ac:dyDescent="0.25">
      <c r="A344" s="789"/>
      <c r="B344" s="792"/>
      <c r="C344" s="116" t="s">
        <v>687</v>
      </c>
      <c r="D344" s="60"/>
      <c r="E344" s="60"/>
      <c r="F344" s="60"/>
      <c r="G344" s="60"/>
      <c r="H344" s="60"/>
      <c r="I344" s="60"/>
      <c r="J344" s="60"/>
      <c r="K344" s="60"/>
      <c r="L344" s="10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255"/>
      <c r="X344" s="234">
        <f t="shared" si="22"/>
        <v>0</v>
      </c>
    </row>
    <row r="345" spans="1:24" outlineLevel="1" x14ac:dyDescent="0.25">
      <c r="A345" s="789"/>
      <c r="B345" s="792"/>
      <c r="C345" s="106" t="s">
        <v>688</v>
      </c>
      <c r="D345" s="60"/>
      <c r="E345" s="60"/>
      <c r="F345" s="60"/>
      <c r="G345" s="60"/>
      <c r="H345" s="60"/>
      <c r="I345" s="60"/>
      <c r="J345" s="60"/>
      <c r="K345" s="60"/>
      <c r="L345" s="10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255"/>
      <c r="X345" s="234">
        <f t="shared" si="22"/>
        <v>0</v>
      </c>
    </row>
    <row r="346" spans="1:24" outlineLevel="1" x14ac:dyDescent="0.25">
      <c r="A346" s="789"/>
      <c r="B346" s="792"/>
      <c r="C346" s="115" t="s">
        <v>689</v>
      </c>
      <c r="D346" s="60"/>
      <c r="E346" s="60"/>
      <c r="F346" s="60"/>
      <c r="G346" s="60"/>
      <c r="H346" s="60"/>
      <c r="I346" s="60"/>
      <c r="J346" s="60"/>
      <c r="K346" s="60"/>
      <c r="L346" s="10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255"/>
      <c r="X346" s="234">
        <f t="shared" si="22"/>
        <v>0</v>
      </c>
    </row>
    <row r="347" spans="1:24" outlineLevel="1" x14ac:dyDescent="0.25">
      <c r="A347" s="789"/>
      <c r="B347" s="792"/>
      <c r="C347" s="115" t="s">
        <v>690</v>
      </c>
      <c r="D347" s="60"/>
      <c r="E347" s="60"/>
      <c r="F347" s="60"/>
      <c r="G347" s="60"/>
      <c r="H347" s="60"/>
      <c r="I347" s="60"/>
      <c r="J347" s="60"/>
      <c r="K347" s="60"/>
      <c r="L347" s="10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255"/>
      <c r="X347" s="234">
        <f t="shared" si="22"/>
        <v>0</v>
      </c>
    </row>
    <row r="348" spans="1:24" outlineLevel="1" x14ac:dyDescent="0.25">
      <c r="A348" s="789"/>
      <c r="B348" s="792"/>
      <c r="C348" s="115" t="s">
        <v>691</v>
      </c>
      <c r="D348" s="60"/>
      <c r="E348" s="60"/>
      <c r="F348" s="60"/>
      <c r="G348" s="60"/>
      <c r="H348" s="60"/>
      <c r="I348" s="60"/>
      <c r="J348" s="60"/>
      <c r="K348" s="60"/>
      <c r="L348" s="10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255"/>
      <c r="X348" s="234">
        <f t="shared" si="22"/>
        <v>0</v>
      </c>
    </row>
    <row r="349" spans="1:24" outlineLevel="1" x14ac:dyDescent="0.25">
      <c r="A349" s="789"/>
      <c r="B349" s="792"/>
      <c r="C349" s="115" t="s">
        <v>692</v>
      </c>
      <c r="D349" s="60"/>
      <c r="E349" s="60"/>
      <c r="F349" s="60"/>
      <c r="G349" s="60"/>
      <c r="H349" s="60"/>
      <c r="I349" s="60"/>
      <c r="J349" s="60"/>
      <c r="K349" s="60"/>
      <c r="L349" s="10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255"/>
      <c r="X349" s="234">
        <f t="shared" si="22"/>
        <v>0</v>
      </c>
    </row>
    <row r="350" spans="1:24" outlineLevel="1" x14ac:dyDescent="0.25">
      <c r="A350" s="789"/>
      <c r="B350" s="792"/>
      <c r="C350" s="106" t="s">
        <v>693</v>
      </c>
      <c r="D350" s="60"/>
      <c r="E350" s="60"/>
      <c r="F350" s="60"/>
      <c r="G350" s="60"/>
      <c r="H350" s="60"/>
      <c r="I350" s="60"/>
      <c r="J350" s="60"/>
      <c r="K350" s="60"/>
      <c r="L350" s="10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255"/>
      <c r="X350" s="234">
        <f t="shared" si="22"/>
        <v>0</v>
      </c>
    </row>
    <row r="351" spans="1:24" outlineLevel="1" x14ac:dyDescent="0.25">
      <c r="A351" s="789"/>
      <c r="B351" s="792"/>
      <c r="C351" s="115" t="s">
        <v>694</v>
      </c>
      <c r="D351" s="60"/>
      <c r="E351" s="60"/>
      <c r="F351" s="60"/>
      <c r="G351" s="60"/>
      <c r="H351" s="60"/>
      <c r="I351" s="60"/>
      <c r="J351" s="60"/>
      <c r="K351" s="60"/>
      <c r="L351" s="10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255"/>
      <c r="X351" s="234">
        <f t="shared" si="22"/>
        <v>0</v>
      </c>
    </row>
    <row r="352" spans="1:24" outlineLevel="1" x14ac:dyDescent="0.25">
      <c r="A352" s="789"/>
      <c r="B352" s="792"/>
      <c r="C352" s="115" t="s">
        <v>695</v>
      </c>
      <c r="D352" s="60"/>
      <c r="E352" s="60"/>
      <c r="F352" s="60"/>
      <c r="G352" s="60"/>
      <c r="H352" s="60"/>
      <c r="I352" s="60"/>
      <c r="J352" s="60"/>
      <c r="K352" s="60"/>
      <c r="L352" s="10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255"/>
      <c r="X352" s="234">
        <f t="shared" si="22"/>
        <v>0</v>
      </c>
    </row>
    <row r="353" spans="1:24" outlineLevel="1" x14ac:dyDescent="0.25">
      <c r="A353" s="789"/>
      <c r="B353" s="792"/>
      <c r="C353" s="115" t="s">
        <v>696</v>
      </c>
      <c r="D353" s="60"/>
      <c r="E353" s="60"/>
      <c r="F353" s="60"/>
      <c r="G353" s="60"/>
      <c r="H353" s="60"/>
      <c r="I353" s="60"/>
      <c r="J353" s="60"/>
      <c r="K353" s="60"/>
      <c r="L353" s="10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255"/>
      <c r="X353" s="234">
        <f t="shared" si="22"/>
        <v>0</v>
      </c>
    </row>
    <row r="354" spans="1:24" outlineLevel="1" x14ac:dyDescent="0.25">
      <c r="A354" s="789"/>
      <c r="B354" s="793"/>
      <c r="C354" s="115" t="s">
        <v>697</v>
      </c>
      <c r="D354" s="60"/>
      <c r="E354" s="60"/>
      <c r="F354" s="60"/>
      <c r="G354" s="60"/>
      <c r="H354" s="60"/>
      <c r="I354" s="60"/>
      <c r="J354" s="60"/>
      <c r="K354" s="60"/>
      <c r="L354" s="10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255"/>
      <c r="X354" s="234">
        <f t="shared" si="22"/>
        <v>0</v>
      </c>
    </row>
    <row r="355" spans="1:24" outlineLevel="1" x14ac:dyDescent="0.25">
      <c r="A355" s="789"/>
      <c r="B355" s="794" t="s">
        <v>698</v>
      </c>
      <c r="C355" s="115" t="s">
        <v>699</v>
      </c>
      <c r="D355" s="60"/>
      <c r="E355" s="60"/>
      <c r="F355" s="60"/>
      <c r="G355" s="60"/>
      <c r="H355" s="60"/>
      <c r="I355" s="60"/>
      <c r="J355" s="60"/>
      <c r="K355" s="60"/>
      <c r="L355" s="10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255"/>
      <c r="X355" s="234">
        <f t="shared" si="22"/>
        <v>0</v>
      </c>
    </row>
    <row r="356" spans="1:24" outlineLevel="1" x14ac:dyDescent="0.25">
      <c r="A356" s="789"/>
      <c r="B356" s="792"/>
      <c r="C356" s="115" t="s">
        <v>700</v>
      </c>
      <c r="D356" s="60"/>
      <c r="E356" s="60"/>
      <c r="F356" s="60"/>
      <c r="G356" s="60"/>
      <c r="H356" s="60"/>
      <c r="I356" s="60"/>
      <c r="J356" s="60"/>
      <c r="K356" s="60"/>
      <c r="L356" s="10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255"/>
      <c r="X356" s="234">
        <f t="shared" si="22"/>
        <v>0</v>
      </c>
    </row>
    <row r="357" spans="1:24" outlineLevel="1" x14ac:dyDescent="0.25">
      <c r="A357" s="789"/>
      <c r="B357" s="792"/>
      <c r="C357" s="115" t="s">
        <v>701</v>
      </c>
      <c r="D357" s="60"/>
      <c r="E357" s="60"/>
      <c r="F357" s="60"/>
      <c r="G357" s="60"/>
      <c r="H357" s="60"/>
      <c r="I357" s="60"/>
      <c r="J357" s="60"/>
      <c r="K357" s="60"/>
      <c r="L357" s="10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255"/>
      <c r="X357" s="234">
        <f t="shared" si="22"/>
        <v>0</v>
      </c>
    </row>
    <row r="358" spans="1:24" outlineLevel="1" x14ac:dyDescent="0.25">
      <c r="A358" s="789"/>
      <c r="B358" s="792"/>
      <c r="C358" s="115" t="s">
        <v>702</v>
      </c>
      <c r="D358" s="60"/>
      <c r="E358" s="60"/>
      <c r="F358" s="60">
        <v>2</v>
      </c>
      <c r="G358" s="60"/>
      <c r="H358" s="60"/>
      <c r="I358" s="60"/>
      <c r="J358" s="60"/>
      <c r="K358" s="60"/>
      <c r="L358" s="10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255"/>
      <c r="X358" s="234">
        <f t="shared" si="22"/>
        <v>0</v>
      </c>
    </row>
    <row r="359" spans="1:24" outlineLevel="1" x14ac:dyDescent="0.25">
      <c r="A359" s="789"/>
      <c r="B359" s="792"/>
      <c r="C359" s="115" t="s">
        <v>703</v>
      </c>
      <c r="D359" s="60"/>
      <c r="E359" s="60"/>
      <c r="F359" s="60"/>
      <c r="G359" s="60"/>
      <c r="H359" s="60"/>
      <c r="I359" s="60"/>
      <c r="J359" s="60"/>
      <c r="K359" s="60"/>
      <c r="L359" s="10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255"/>
      <c r="X359" s="234">
        <f t="shared" si="22"/>
        <v>0</v>
      </c>
    </row>
    <row r="360" spans="1:24" outlineLevel="1" x14ac:dyDescent="0.25">
      <c r="A360" s="789"/>
      <c r="B360" s="792"/>
      <c r="C360" s="115" t="s">
        <v>704</v>
      </c>
      <c r="D360" s="60"/>
      <c r="E360" s="60"/>
      <c r="F360" s="60"/>
      <c r="G360" s="60"/>
      <c r="H360" s="60"/>
      <c r="I360" s="60"/>
      <c r="J360" s="60"/>
      <c r="K360" s="60"/>
      <c r="L360" s="10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255"/>
      <c r="X360" s="234">
        <f t="shared" si="22"/>
        <v>0</v>
      </c>
    </row>
    <row r="361" spans="1:24" outlineLevel="1" x14ac:dyDescent="0.25">
      <c r="A361" s="789"/>
      <c r="B361" s="792"/>
      <c r="C361" s="115" t="s">
        <v>705</v>
      </c>
      <c r="D361" s="60"/>
      <c r="E361" s="60"/>
      <c r="F361" s="60"/>
      <c r="G361" s="60"/>
      <c r="H361" s="60"/>
      <c r="I361" s="60"/>
      <c r="J361" s="60"/>
      <c r="K361" s="60"/>
      <c r="L361" s="10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255"/>
      <c r="X361" s="234">
        <f t="shared" si="22"/>
        <v>0</v>
      </c>
    </row>
    <row r="362" spans="1:24" outlineLevel="1" x14ac:dyDescent="0.25">
      <c r="A362" s="789"/>
      <c r="B362" s="792"/>
      <c r="C362" s="115" t="s">
        <v>706</v>
      </c>
      <c r="D362" s="60"/>
      <c r="E362" s="60"/>
      <c r="F362" s="60"/>
      <c r="G362" s="60"/>
      <c r="H362" s="60"/>
      <c r="I362" s="60"/>
      <c r="J362" s="60"/>
      <c r="K362" s="60"/>
      <c r="L362" s="10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255"/>
      <c r="X362" s="234">
        <f t="shared" si="22"/>
        <v>0</v>
      </c>
    </row>
    <row r="363" spans="1:24" outlineLevel="1" x14ac:dyDescent="0.25">
      <c r="A363" s="789"/>
      <c r="B363" s="792"/>
      <c r="C363" s="115" t="s">
        <v>707</v>
      </c>
      <c r="D363" s="60"/>
      <c r="E363" s="60"/>
      <c r="F363" s="60"/>
      <c r="G363" s="60"/>
      <c r="H363" s="60"/>
      <c r="I363" s="60"/>
      <c r="J363" s="60"/>
      <c r="K363" s="60"/>
      <c r="L363" s="10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255"/>
      <c r="X363" s="234">
        <f t="shared" si="22"/>
        <v>0</v>
      </c>
    </row>
    <row r="364" spans="1:24" outlineLevel="1" x14ac:dyDescent="0.25">
      <c r="A364" s="789"/>
      <c r="B364" s="792"/>
      <c r="C364" s="115" t="s">
        <v>708</v>
      </c>
      <c r="D364" s="60"/>
      <c r="E364" s="60"/>
      <c r="F364" s="60"/>
      <c r="G364" s="60"/>
      <c r="H364" s="60"/>
      <c r="I364" s="60"/>
      <c r="J364" s="60"/>
      <c r="K364" s="60"/>
      <c r="L364" s="10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255"/>
      <c r="X364" s="234">
        <f t="shared" si="22"/>
        <v>0</v>
      </c>
    </row>
    <row r="365" spans="1:24" outlineLevel="1" x14ac:dyDescent="0.25">
      <c r="A365" s="789"/>
      <c r="B365" s="792"/>
      <c r="C365" s="115" t="s">
        <v>709</v>
      </c>
      <c r="D365" s="60"/>
      <c r="E365" s="60"/>
      <c r="F365" s="60"/>
      <c r="G365" s="60"/>
      <c r="H365" s="60"/>
      <c r="I365" s="60"/>
      <c r="J365" s="60"/>
      <c r="K365" s="60"/>
      <c r="L365" s="10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255"/>
      <c r="X365" s="234">
        <f t="shared" si="22"/>
        <v>0</v>
      </c>
    </row>
    <row r="366" spans="1:24" outlineLevel="1" x14ac:dyDescent="0.25">
      <c r="A366" s="789"/>
      <c r="B366" s="792"/>
      <c r="C366" s="115" t="s">
        <v>710</v>
      </c>
      <c r="D366" s="60"/>
      <c r="E366" s="60"/>
      <c r="F366" s="60"/>
      <c r="G366" s="60"/>
      <c r="H366" s="60"/>
      <c r="I366" s="60"/>
      <c r="J366" s="60"/>
      <c r="K366" s="60"/>
      <c r="L366" s="10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255"/>
      <c r="X366" s="234">
        <f t="shared" si="22"/>
        <v>0</v>
      </c>
    </row>
    <row r="367" spans="1:24" outlineLevel="1" x14ac:dyDescent="0.25">
      <c r="A367" s="789"/>
      <c r="B367" s="792"/>
      <c r="C367" s="115" t="s">
        <v>711</v>
      </c>
      <c r="D367" s="60"/>
      <c r="E367" s="60"/>
      <c r="F367" s="60"/>
      <c r="G367" s="60"/>
      <c r="H367" s="60"/>
      <c r="I367" s="60"/>
      <c r="J367" s="60"/>
      <c r="K367" s="60"/>
      <c r="L367" s="10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255"/>
      <c r="X367" s="234">
        <f t="shared" si="22"/>
        <v>0</v>
      </c>
    </row>
    <row r="368" spans="1:24" outlineLevel="1" x14ac:dyDescent="0.25">
      <c r="A368" s="789"/>
      <c r="B368" s="792"/>
      <c r="C368" s="115" t="s">
        <v>712</v>
      </c>
      <c r="D368" s="60"/>
      <c r="E368" s="60"/>
      <c r="F368" s="60"/>
      <c r="G368" s="60"/>
      <c r="H368" s="60"/>
      <c r="I368" s="60"/>
      <c r="J368" s="60"/>
      <c r="K368" s="60"/>
      <c r="L368" s="10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255"/>
      <c r="X368" s="234">
        <f t="shared" si="22"/>
        <v>0</v>
      </c>
    </row>
    <row r="369" spans="1:24" outlineLevel="1" x14ac:dyDescent="0.25">
      <c r="A369" s="789"/>
      <c r="B369" s="792"/>
      <c r="C369" s="115" t="s">
        <v>713</v>
      </c>
      <c r="D369" s="60"/>
      <c r="E369" s="60"/>
      <c r="F369" s="60"/>
      <c r="G369" s="60"/>
      <c r="H369" s="60"/>
      <c r="I369" s="60"/>
      <c r="J369" s="60"/>
      <c r="K369" s="60"/>
      <c r="L369" s="10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255"/>
      <c r="X369" s="234">
        <f t="shared" si="22"/>
        <v>0</v>
      </c>
    </row>
    <row r="370" spans="1:24" outlineLevel="1" x14ac:dyDescent="0.25">
      <c r="A370" s="789"/>
      <c r="B370" s="792"/>
      <c r="C370" s="115" t="s">
        <v>714</v>
      </c>
      <c r="D370" s="60"/>
      <c r="E370" s="60"/>
      <c r="F370" s="60"/>
      <c r="G370" s="60"/>
      <c r="H370" s="60"/>
      <c r="I370" s="60"/>
      <c r="J370" s="60"/>
      <c r="K370" s="60"/>
      <c r="L370" s="10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255"/>
      <c r="X370" s="234">
        <f t="shared" si="22"/>
        <v>0</v>
      </c>
    </row>
    <row r="371" spans="1:24" outlineLevel="1" x14ac:dyDescent="0.25">
      <c r="A371" s="789"/>
      <c r="B371" s="792"/>
      <c r="C371" s="115" t="s">
        <v>715</v>
      </c>
      <c r="D371" s="60"/>
      <c r="E371" s="60"/>
      <c r="F371" s="60"/>
      <c r="G371" s="60"/>
      <c r="H371" s="60"/>
      <c r="I371" s="60"/>
      <c r="J371" s="60"/>
      <c r="K371" s="60"/>
      <c r="L371" s="10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255"/>
      <c r="X371" s="234">
        <f t="shared" si="22"/>
        <v>0</v>
      </c>
    </row>
    <row r="372" spans="1:24" outlineLevel="1" x14ac:dyDescent="0.25">
      <c r="A372" s="789"/>
      <c r="B372" s="792"/>
      <c r="C372" s="115" t="s">
        <v>716</v>
      </c>
      <c r="D372" s="60"/>
      <c r="E372" s="60"/>
      <c r="F372" s="60"/>
      <c r="G372" s="60"/>
      <c r="H372" s="60"/>
      <c r="I372" s="60"/>
      <c r="J372" s="60"/>
      <c r="K372" s="60"/>
      <c r="L372" s="10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255"/>
      <c r="X372" s="234">
        <f t="shared" si="22"/>
        <v>0</v>
      </c>
    </row>
    <row r="373" spans="1:24" outlineLevel="1" x14ac:dyDescent="0.25">
      <c r="A373" s="789"/>
      <c r="B373" s="792"/>
      <c r="C373" s="115" t="s">
        <v>717</v>
      </c>
      <c r="D373" s="60"/>
      <c r="E373" s="60"/>
      <c r="F373" s="60"/>
      <c r="G373" s="60"/>
      <c r="H373" s="60"/>
      <c r="I373" s="60"/>
      <c r="J373" s="60"/>
      <c r="K373" s="60"/>
      <c r="L373" s="10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255"/>
      <c r="X373" s="234">
        <f t="shared" si="22"/>
        <v>0</v>
      </c>
    </row>
    <row r="374" spans="1:24" outlineLevel="1" x14ac:dyDescent="0.25">
      <c r="A374" s="789"/>
      <c r="B374" s="792"/>
      <c r="C374" s="115" t="s">
        <v>718</v>
      </c>
      <c r="D374" s="60"/>
      <c r="E374" s="60"/>
      <c r="F374" s="60"/>
      <c r="G374" s="60"/>
      <c r="H374" s="60"/>
      <c r="I374" s="60"/>
      <c r="J374" s="60"/>
      <c r="K374" s="60"/>
      <c r="L374" s="10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255"/>
      <c r="X374" s="234">
        <f t="shared" si="22"/>
        <v>0</v>
      </c>
    </row>
    <row r="375" spans="1:24" outlineLevel="1" x14ac:dyDescent="0.25">
      <c r="A375" s="789"/>
      <c r="B375" s="792"/>
      <c r="C375" s="115" t="s">
        <v>719</v>
      </c>
      <c r="D375" s="60"/>
      <c r="E375" s="60"/>
      <c r="F375" s="60"/>
      <c r="G375" s="60"/>
      <c r="H375" s="60"/>
      <c r="I375" s="60"/>
      <c r="J375" s="60"/>
      <c r="K375" s="60"/>
      <c r="L375" s="10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255"/>
      <c r="X375" s="234">
        <f t="shared" si="22"/>
        <v>0</v>
      </c>
    </row>
    <row r="376" spans="1:24" outlineLevel="1" x14ac:dyDescent="0.25">
      <c r="A376" s="789"/>
      <c r="B376" s="792"/>
      <c r="C376" s="115" t="s">
        <v>720</v>
      </c>
      <c r="D376" s="60"/>
      <c r="E376" s="60"/>
      <c r="F376" s="60"/>
      <c r="G376" s="60"/>
      <c r="H376" s="60"/>
      <c r="I376" s="60"/>
      <c r="J376" s="60"/>
      <c r="K376" s="60"/>
      <c r="L376" s="10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255"/>
      <c r="X376" s="234">
        <f t="shared" si="22"/>
        <v>0</v>
      </c>
    </row>
    <row r="377" spans="1:24" outlineLevel="1" x14ac:dyDescent="0.25">
      <c r="A377" s="789"/>
      <c r="B377" s="792"/>
      <c r="C377" s="115" t="s">
        <v>721</v>
      </c>
      <c r="D377" s="60"/>
      <c r="E377" s="60"/>
      <c r="F377" s="60"/>
      <c r="G377" s="60"/>
      <c r="H377" s="60"/>
      <c r="I377" s="60"/>
      <c r="J377" s="60"/>
      <c r="K377" s="60"/>
      <c r="L377" s="10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255"/>
      <c r="X377" s="234">
        <f t="shared" si="22"/>
        <v>0</v>
      </c>
    </row>
    <row r="378" spans="1:24" outlineLevel="1" x14ac:dyDescent="0.25">
      <c r="A378" s="789"/>
      <c r="B378" s="792"/>
      <c r="C378" s="115" t="s">
        <v>722</v>
      </c>
      <c r="D378" s="60"/>
      <c r="E378" s="60"/>
      <c r="F378" s="60"/>
      <c r="G378" s="60"/>
      <c r="H378" s="60"/>
      <c r="I378" s="60"/>
      <c r="J378" s="60"/>
      <c r="K378" s="60"/>
      <c r="L378" s="10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255"/>
      <c r="X378" s="234">
        <f t="shared" si="22"/>
        <v>0</v>
      </c>
    </row>
    <row r="379" spans="1:24" outlineLevel="1" x14ac:dyDescent="0.25">
      <c r="A379" s="789"/>
      <c r="B379" s="792"/>
      <c r="C379" s="115" t="s">
        <v>723</v>
      </c>
      <c r="D379" s="60"/>
      <c r="E379" s="60"/>
      <c r="F379" s="60"/>
      <c r="G379" s="60"/>
      <c r="H379" s="60"/>
      <c r="I379" s="60"/>
      <c r="J379" s="60"/>
      <c r="K379" s="60"/>
      <c r="L379" s="10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255"/>
      <c r="X379" s="234">
        <f t="shared" si="22"/>
        <v>0</v>
      </c>
    </row>
    <row r="380" spans="1:24" outlineLevel="1" x14ac:dyDescent="0.25">
      <c r="A380" s="789"/>
      <c r="B380" s="792"/>
      <c r="C380" s="115" t="s">
        <v>724</v>
      </c>
      <c r="D380" s="60"/>
      <c r="E380" s="60"/>
      <c r="F380" s="60"/>
      <c r="G380" s="60"/>
      <c r="H380" s="60"/>
      <c r="I380" s="60"/>
      <c r="J380" s="60"/>
      <c r="K380" s="60"/>
      <c r="L380" s="10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255"/>
      <c r="X380" s="234">
        <f t="shared" si="22"/>
        <v>0</v>
      </c>
    </row>
    <row r="381" spans="1:24" outlineLevel="1" x14ac:dyDescent="0.25">
      <c r="A381" s="789"/>
      <c r="B381" s="792"/>
      <c r="C381" s="115" t="s">
        <v>725</v>
      </c>
      <c r="D381" s="60"/>
      <c r="E381" s="60"/>
      <c r="F381" s="60"/>
      <c r="G381" s="60"/>
      <c r="H381" s="60"/>
      <c r="I381" s="60"/>
      <c r="J381" s="60"/>
      <c r="K381" s="60"/>
      <c r="L381" s="10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255"/>
      <c r="X381" s="234">
        <f t="shared" si="22"/>
        <v>0</v>
      </c>
    </row>
    <row r="382" spans="1:24" outlineLevel="1" x14ac:dyDescent="0.25">
      <c r="A382" s="789"/>
      <c r="B382" s="792"/>
      <c r="C382" s="115" t="s">
        <v>726</v>
      </c>
      <c r="D382" s="60"/>
      <c r="E382" s="60"/>
      <c r="F382" s="60"/>
      <c r="G382" s="60"/>
      <c r="H382" s="60"/>
      <c r="I382" s="60"/>
      <c r="J382" s="60"/>
      <c r="K382" s="60"/>
      <c r="L382" s="10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255"/>
      <c r="X382" s="234">
        <f t="shared" si="22"/>
        <v>0</v>
      </c>
    </row>
    <row r="383" spans="1:24" outlineLevel="1" x14ac:dyDescent="0.25">
      <c r="A383" s="789"/>
      <c r="B383" s="792"/>
      <c r="C383" s="115" t="s">
        <v>727</v>
      </c>
      <c r="D383" s="60"/>
      <c r="E383" s="60"/>
      <c r="F383" s="60"/>
      <c r="G383" s="60"/>
      <c r="H383" s="60"/>
      <c r="I383" s="60"/>
      <c r="J383" s="60"/>
      <c r="K383" s="60"/>
      <c r="L383" s="10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255"/>
      <c r="X383" s="234">
        <f t="shared" si="22"/>
        <v>0</v>
      </c>
    </row>
    <row r="384" spans="1:24" ht="15.75" outlineLevel="1" thickBot="1" x14ac:dyDescent="0.3">
      <c r="A384" s="790"/>
      <c r="B384" s="795"/>
      <c r="C384" s="114" t="s">
        <v>728</v>
      </c>
      <c r="D384" s="37"/>
      <c r="E384" s="37"/>
      <c r="F384" s="37"/>
      <c r="G384" s="37"/>
      <c r="H384" s="37"/>
      <c r="I384" s="37"/>
      <c r="J384" s="37"/>
      <c r="K384" s="37"/>
      <c r="L384" s="25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257"/>
      <c r="X384" s="235">
        <f t="shared" si="22"/>
        <v>0</v>
      </c>
    </row>
    <row r="385" spans="1:24" ht="15.75" thickBot="1" x14ac:dyDescent="0.3">
      <c r="A385" s="773" t="s">
        <v>729</v>
      </c>
      <c r="B385" s="774"/>
      <c r="C385" s="775"/>
      <c r="D385" s="22">
        <v>0</v>
      </c>
      <c r="E385" s="22">
        <v>0</v>
      </c>
      <c r="F385" s="22">
        <v>2</v>
      </c>
      <c r="G385" s="22">
        <v>0</v>
      </c>
      <c r="H385" s="22">
        <v>0</v>
      </c>
      <c r="I385" s="22">
        <v>0</v>
      </c>
      <c r="J385" s="22">
        <v>0</v>
      </c>
      <c r="K385" s="22">
        <v>0</v>
      </c>
      <c r="L385" s="22">
        <f t="shared" ref="L385:X385" si="23">SUM(L340:L384)</f>
        <v>0</v>
      </c>
      <c r="M385" s="22">
        <f t="shared" si="23"/>
        <v>0</v>
      </c>
      <c r="N385" s="22">
        <f t="shared" si="23"/>
        <v>0</v>
      </c>
      <c r="O385" s="22">
        <f t="shared" si="23"/>
        <v>0</v>
      </c>
      <c r="P385" s="22">
        <f t="shared" si="23"/>
        <v>0</v>
      </c>
      <c r="Q385" s="22">
        <f t="shared" si="23"/>
        <v>0</v>
      </c>
      <c r="R385" s="22">
        <f t="shared" si="23"/>
        <v>0</v>
      </c>
      <c r="S385" s="22">
        <f t="shared" si="23"/>
        <v>0</v>
      </c>
      <c r="T385" s="22">
        <f t="shared" si="23"/>
        <v>0</v>
      </c>
      <c r="U385" s="22">
        <f t="shared" si="23"/>
        <v>0</v>
      </c>
      <c r="V385" s="22">
        <f t="shared" si="23"/>
        <v>0</v>
      </c>
      <c r="W385" s="22">
        <f t="shared" si="23"/>
        <v>0</v>
      </c>
      <c r="X385" s="63">
        <f t="shared" si="23"/>
        <v>0</v>
      </c>
    </row>
    <row r="386" spans="1:24" outlineLevel="1" x14ac:dyDescent="0.25">
      <c r="A386" s="776" t="s">
        <v>120</v>
      </c>
      <c r="B386" s="779" t="s">
        <v>730</v>
      </c>
      <c r="C386" s="113" t="s">
        <v>731</v>
      </c>
      <c r="D386" s="33"/>
      <c r="E386" s="33"/>
      <c r="F386" s="33"/>
      <c r="G386" s="33"/>
      <c r="H386" s="33"/>
      <c r="I386" s="33"/>
      <c r="J386" s="33"/>
      <c r="K386" s="33"/>
      <c r="L386" s="263"/>
      <c r="M386" s="73"/>
      <c r="N386" s="32"/>
      <c r="O386" s="32"/>
      <c r="P386" s="32"/>
      <c r="Q386" s="32"/>
      <c r="R386" s="32"/>
      <c r="S386" s="68"/>
      <c r="T386" s="68"/>
      <c r="U386" s="68"/>
      <c r="V386" s="68"/>
      <c r="W386" s="264"/>
      <c r="X386" s="236">
        <f t="shared" ref="X386:X412" si="24">SUM(L386:W386)</f>
        <v>0</v>
      </c>
    </row>
    <row r="387" spans="1:24" outlineLevel="1" x14ac:dyDescent="0.25">
      <c r="A387" s="777"/>
      <c r="B387" s="780"/>
      <c r="C387" s="106" t="s">
        <v>732</v>
      </c>
      <c r="D387" s="60"/>
      <c r="E387" s="60"/>
      <c r="F387" s="60"/>
      <c r="G387" s="60"/>
      <c r="H387" s="60"/>
      <c r="I387" s="60"/>
      <c r="J387" s="60"/>
      <c r="K387" s="60"/>
      <c r="L387" s="111"/>
      <c r="M387" s="69"/>
      <c r="N387" s="59"/>
      <c r="O387" s="59"/>
      <c r="P387" s="59"/>
      <c r="Q387" s="59"/>
      <c r="R387" s="59"/>
      <c r="S387" s="66"/>
      <c r="T387" s="66"/>
      <c r="U387" s="66"/>
      <c r="V387" s="66"/>
      <c r="W387" s="265"/>
      <c r="X387" s="234">
        <f t="shared" si="24"/>
        <v>0</v>
      </c>
    </row>
    <row r="388" spans="1:24" outlineLevel="1" x14ac:dyDescent="0.25">
      <c r="A388" s="777"/>
      <c r="B388" s="780"/>
      <c r="C388" s="106" t="s">
        <v>733</v>
      </c>
      <c r="D388" s="60"/>
      <c r="E388" s="60"/>
      <c r="F388" s="60"/>
      <c r="G388" s="60"/>
      <c r="H388" s="60"/>
      <c r="I388" s="60"/>
      <c r="J388" s="60"/>
      <c r="K388" s="60"/>
      <c r="L388" s="111"/>
      <c r="M388" s="69"/>
      <c r="N388" s="59"/>
      <c r="O388" s="59"/>
      <c r="P388" s="59"/>
      <c r="Q388" s="59"/>
      <c r="R388" s="59"/>
      <c r="S388" s="66"/>
      <c r="T388" s="66"/>
      <c r="U388" s="66"/>
      <c r="V388" s="66"/>
      <c r="W388" s="265"/>
      <c r="X388" s="234">
        <f t="shared" si="24"/>
        <v>0</v>
      </c>
    </row>
    <row r="389" spans="1:24" outlineLevel="1" x14ac:dyDescent="0.25">
      <c r="A389" s="777"/>
      <c r="B389" s="780"/>
      <c r="C389" s="106" t="s">
        <v>734</v>
      </c>
      <c r="D389" s="60"/>
      <c r="E389" s="60"/>
      <c r="F389" s="60"/>
      <c r="G389" s="60"/>
      <c r="H389" s="60"/>
      <c r="I389" s="60"/>
      <c r="J389" s="60"/>
      <c r="K389" s="60"/>
      <c r="L389" s="111"/>
      <c r="M389" s="66"/>
      <c r="N389" s="59"/>
      <c r="O389" s="59"/>
      <c r="P389" s="59"/>
      <c r="Q389" s="59"/>
      <c r="R389" s="59"/>
      <c r="S389" s="66"/>
      <c r="T389" s="66"/>
      <c r="U389" s="66"/>
      <c r="V389" s="66"/>
      <c r="W389" s="265"/>
      <c r="X389" s="234">
        <f t="shared" si="24"/>
        <v>0</v>
      </c>
    </row>
    <row r="390" spans="1:24" outlineLevel="1" x14ac:dyDescent="0.25">
      <c r="A390" s="777"/>
      <c r="B390" s="780"/>
      <c r="C390" s="112" t="s">
        <v>735</v>
      </c>
      <c r="D390" s="60"/>
      <c r="E390" s="60"/>
      <c r="F390" s="60"/>
      <c r="G390" s="60"/>
      <c r="H390" s="60"/>
      <c r="I390" s="60"/>
      <c r="J390" s="60"/>
      <c r="K390" s="60">
        <v>1</v>
      </c>
      <c r="L390" s="111"/>
      <c r="M390" s="66"/>
      <c r="N390" s="59"/>
      <c r="O390" s="59"/>
      <c r="P390" s="59"/>
      <c r="Q390" s="59"/>
      <c r="R390" s="59"/>
      <c r="S390" s="170"/>
      <c r="T390" s="170"/>
      <c r="U390" s="66"/>
      <c r="V390" s="66"/>
      <c r="W390" s="265"/>
      <c r="X390" s="234">
        <f t="shared" si="24"/>
        <v>0</v>
      </c>
    </row>
    <row r="391" spans="1:24" outlineLevel="1" x14ac:dyDescent="0.25">
      <c r="A391" s="777"/>
      <c r="B391" s="780"/>
      <c r="C391" s="106" t="s">
        <v>736</v>
      </c>
      <c r="D391" s="60"/>
      <c r="E391" s="60"/>
      <c r="F391" s="60"/>
      <c r="G391" s="60"/>
      <c r="H391" s="60"/>
      <c r="I391" s="60"/>
      <c r="J391" s="60"/>
      <c r="K391" s="60"/>
      <c r="L391" s="111"/>
      <c r="M391" s="66"/>
      <c r="N391" s="59"/>
      <c r="O391" s="59"/>
      <c r="P391" s="59"/>
      <c r="Q391" s="59"/>
      <c r="R391" s="59"/>
      <c r="S391" s="66"/>
      <c r="T391" s="66"/>
      <c r="U391" s="66"/>
      <c r="V391" s="66"/>
      <c r="W391" s="265"/>
      <c r="X391" s="234">
        <f t="shared" si="24"/>
        <v>0</v>
      </c>
    </row>
    <row r="392" spans="1:24" outlineLevel="1" x14ac:dyDescent="0.25">
      <c r="A392" s="777"/>
      <c r="B392" s="780"/>
      <c r="C392" s="106" t="s">
        <v>737</v>
      </c>
      <c r="D392" s="60"/>
      <c r="E392" s="60"/>
      <c r="F392" s="60"/>
      <c r="G392" s="60"/>
      <c r="H392" s="60"/>
      <c r="I392" s="60"/>
      <c r="J392" s="60"/>
      <c r="K392" s="60"/>
      <c r="L392" s="111"/>
      <c r="M392" s="66"/>
      <c r="N392" s="59"/>
      <c r="O392" s="59"/>
      <c r="P392" s="59"/>
      <c r="Q392" s="59"/>
      <c r="R392" s="59"/>
      <c r="S392" s="66"/>
      <c r="T392" s="66"/>
      <c r="U392" s="66"/>
      <c r="V392" s="66"/>
      <c r="W392" s="265"/>
      <c r="X392" s="234">
        <f t="shared" si="24"/>
        <v>0</v>
      </c>
    </row>
    <row r="393" spans="1:24" outlineLevel="1" x14ac:dyDescent="0.25">
      <c r="A393" s="777"/>
      <c r="B393" s="780"/>
      <c r="C393" s="106" t="s">
        <v>738</v>
      </c>
      <c r="D393" s="60"/>
      <c r="E393" s="60"/>
      <c r="F393" s="60"/>
      <c r="G393" s="60"/>
      <c r="H393" s="60"/>
      <c r="I393" s="60"/>
      <c r="J393" s="60"/>
      <c r="K393" s="60"/>
      <c r="L393" s="268"/>
      <c r="M393" s="95"/>
      <c r="N393" s="45"/>
      <c r="O393" s="45"/>
      <c r="P393" s="45"/>
      <c r="Q393" s="45"/>
      <c r="R393" s="45"/>
      <c r="S393" s="95"/>
      <c r="T393" s="95"/>
      <c r="U393" s="95"/>
      <c r="V393" s="95"/>
      <c r="W393" s="269"/>
      <c r="X393" s="237">
        <f t="shared" si="24"/>
        <v>0</v>
      </c>
    </row>
    <row r="394" spans="1:24" outlineLevel="1" x14ac:dyDescent="0.25">
      <c r="A394" s="777"/>
      <c r="B394" s="780"/>
      <c r="C394" s="106" t="s">
        <v>739</v>
      </c>
      <c r="D394" s="60"/>
      <c r="E394" s="60"/>
      <c r="F394" s="60"/>
      <c r="G394" s="60"/>
      <c r="H394" s="60"/>
      <c r="I394" s="60"/>
      <c r="J394" s="60"/>
      <c r="K394" s="60"/>
      <c r="L394" s="111"/>
      <c r="M394" s="69"/>
      <c r="N394" s="59"/>
      <c r="O394" s="59"/>
      <c r="P394" s="59"/>
      <c r="Q394" s="59"/>
      <c r="R394" s="59"/>
      <c r="S394" s="66"/>
      <c r="T394" s="66"/>
      <c r="U394" s="66"/>
      <c r="V394" s="66"/>
      <c r="W394" s="265"/>
      <c r="X394" s="234">
        <f t="shared" si="24"/>
        <v>0</v>
      </c>
    </row>
    <row r="395" spans="1:24" outlineLevel="1" x14ac:dyDescent="0.25">
      <c r="A395" s="777"/>
      <c r="B395" s="780"/>
      <c r="C395" s="106" t="s">
        <v>740</v>
      </c>
      <c r="D395" s="60"/>
      <c r="E395" s="60"/>
      <c r="F395" s="60"/>
      <c r="G395" s="60"/>
      <c r="H395" s="60"/>
      <c r="I395" s="60"/>
      <c r="J395" s="60"/>
      <c r="K395" s="60"/>
      <c r="L395" s="111"/>
      <c r="M395" s="69"/>
      <c r="N395" s="59"/>
      <c r="O395" s="59"/>
      <c r="P395" s="59"/>
      <c r="Q395" s="59"/>
      <c r="R395" s="59"/>
      <c r="S395" s="66"/>
      <c r="T395" s="66"/>
      <c r="U395" s="66"/>
      <c r="V395" s="66"/>
      <c r="W395" s="265"/>
      <c r="X395" s="234">
        <f t="shared" si="24"/>
        <v>0</v>
      </c>
    </row>
    <row r="396" spans="1:24" outlineLevel="1" x14ac:dyDescent="0.25">
      <c r="A396" s="777"/>
      <c r="B396" s="780"/>
      <c r="C396" s="106" t="s">
        <v>741</v>
      </c>
      <c r="D396" s="60"/>
      <c r="E396" s="60"/>
      <c r="F396" s="60"/>
      <c r="G396" s="60"/>
      <c r="H396" s="60"/>
      <c r="I396" s="60"/>
      <c r="J396" s="60"/>
      <c r="K396" s="60"/>
      <c r="L396" s="111"/>
      <c r="M396" s="69"/>
      <c r="N396" s="59"/>
      <c r="O396" s="59"/>
      <c r="P396" s="59"/>
      <c r="Q396" s="59"/>
      <c r="R396" s="59"/>
      <c r="S396" s="66"/>
      <c r="T396" s="66"/>
      <c r="U396" s="66"/>
      <c r="V396" s="66"/>
      <c r="W396" s="265"/>
      <c r="X396" s="234">
        <f t="shared" si="24"/>
        <v>0</v>
      </c>
    </row>
    <row r="397" spans="1:24" outlineLevel="1" x14ac:dyDescent="0.25">
      <c r="A397" s="777"/>
      <c r="B397" s="780"/>
      <c r="C397" s="106" t="s">
        <v>742</v>
      </c>
      <c r="D397" s="60"/>
      <c r="E397" s="60"/>
      <c r="F397" s="60"/>
      <c r="G397" s="60"/>
      <c r="H397" s="60"/>
      <c r="I397" s="60"/>
      <c r="J397" s="60"/>
      <c r="K397" s="60"/>
      <c r="L397" s="111"/>
      <c r="M397" s="69"/>
      <c r="N397" s="59"/>
      <c r="O397" s="59"/>
      <c r="P397" s="59"/>
      <c r="Q397" s="59"/>
      <c r="R397" s="59"/>
      <c r="S397" s="66"/>
      <c r="T397" s="66"/>
      <c r="U397" s="66"/>
      <c r="V397" s="66"/>
      <c r="W397" s="265"/>
      <c r="X397" s="234">
        <f t="shared" si="24"/>
        <v>0</v>
      </c>
    </row>
    <row r="398" spans="1:24" outlineLevel="1" x14ac:dyDescent="0.25">
      <c r="A398" s="777"/>
      <c r="B398" s="780"/>
      <c r="C398" s="106" t="s">
        <v>743</v>
      </c>
      <c r="D398" s="60"/>
      <c r="E398" s="60"/>
      <c r="F398" s="60"/>
      <c r="G398" s="60"/>
      <c r="H398" s="60"/>
      <c r="I398" s="60"/>
      <c r="J398" s="60"/>
      <c r="K398" s="60"/>
      <c r="L398" s="111"/>
      <c r="M398" s="69"/>
      <c r="N398" s="59"/>
      <c r="O398" s="59"/>
      <c r="P398" s="59"/>
      <c r="Q398" s="59"/>
      <c r="R398" s="59"/>
      <c r="S398" s="66"/>
      <c r="T398" s="66"/>
      <c r="U398" s="66"/>
      <c r="V398" s="66"/>
      <c r="W398" s="265"/>
      <c r="X398" s="234">
        <f t="shared" si="24"/>
        <v>0</v>
      </c>
    </row>
    <row r="399" spans="1:24" outlineLevel="1" x14ac:dyDescent="0.25">
      <c r="A399" s="777"/>
      <c r="B399" s="780"/>
      <c r="C399" s="106" t="s">
        <v>744</v>
      </c>
      <c r="D399" s="60"/>
      <c r="E399" s="60"/>
      <c r="F399" s="60"/>
      <c r="G399" s="60"/>
      <c r="H399" s="60"/>
      <c r="I399" s="60"/>
      <c r="J399" s="60"/>
      <c r="K399" s="60"/>
      <c r="L399" s="111"/>
      <c r="M399" s="69"/>
      <c r="N399" s="59"/>
      <c r="O399" s="59"/>
      <c r="P399" s="59"/>
      <c r="Q399" s="59"/>
      <c r="R399" s="59"/>
      <c r="S399" s="66"/>
      <c r="T399" s="66"/>
      <c r="U399" s="66"/>
      <c r="V399" s="66"/>
      <c r="W399" s="265"/>
      <c r="X399" s="234">
        <f t="shared" si="24"/>
        <v>0</v>
      </c>
    </row>
    <row r="400" spans="1:24" outlineLevel="1" x14ac:dyDescent="0.25">
      <c r="A400" s="777"/>
      <c r="B400" s="780"/>
      <c r="C400" s="106" t="s">
        <v>745</v>
      </c>
      <c r="D400" s="60"/>
      <c r="E400" s="60"/>
      <c r="F400" s="60"/>
      <c r="G400" s="60"/>
      <c r="H400" s="60"/>
      <c r="I400" s="60"/>
      <c r="J400" s="60"/>
      <c r="K400" s="60"/>
      <c r="L400" s="109"/>
      <c r="M400" s="69"/>
      <c r="N400" s="59"/>
      <c r="O400" s="59"/>
      <c r="P400" s="59"/>
      <c r="Q400" s="59"/>
      <c r="R400" s="59"/>
      <c r="S400" s="59"/>
      <c r="T400" s="59"/>
      <c r="U400" s="59"/>
      <c r="V400" s="59"/>
      <c r="W400" s="255"/>
      <c r="X400" s="234">
        <f t="shared" si="24"/>
        <v>0</v>
      </c>
    </row>
    <row r="401" spans="1:24" outlineLevel="1" x14ac:dyDescent="0.25">
      <c r="A401" s="777"/>
      <c r="B401" s="780"/>
      <c r="C401" s="106" t="s">
        <v>746</v>
      </c>
      <c r="D401" s="60"/>
      <c r="E401" s="60"/>
      <c r="F401" s="60"/>
      <c r="G401" s="60"/>
      <c r="H401" s="60"/>
      <c r="I401" s="60"/>
      <c r="J401" s="60"/>
      <c r="K401" s="60"/>
      <c r="L401" s="10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255"/>
      <c r="X401" s="234">
        <f t="shared" si="24"/>
        <v>0</v>
      </c>
    </row>
    <row r="402" spans="1:24" outlineLevel="1" x14ac:dyDescent="0.25">
      <c r="A402" s="777"/>
      <c r="B402" s="780"/>
      <c r="C402" s="106" t="s">
        <v>747</v>
      </c>
      <c r="D402" s="60"/>
      <c r="E402" s="60"/>
      <c r="F402" s="60"/>
      <c r="G402" s="60"/>
      <c r="H402" s="60"/>
      <c r="I402" s="60"/>
      <c r="J402" s="60"/>
      <c r="K402" s="60"/>
      <c r="L402" s="110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255"/>
      <c r="X402" s="234">
        <f t="shared" si="24"/>
        <v>0</v>
      </c>
    </row>
    <row r="403" spans="1:24" outlineLevel="1" x14ac:dyDescent="0.25">
      <c r="A403" s="777"/>
      <c r="B403" s="780"/>
      <c r="C403" s="106" t="s">
        <v>748</v>
      </c>
      <c r="D403" s="60"/>
      <c r="E403" s="60"/>
      <c r="F403" s="60"/>
      <c r="G403" s="60"/>
      <c r="H403" s="60"/>
      <c r="I403" s="60"/>
      <c r="J403" s="60"/>
      <c r="K403" s="60"/>
      <c r="L403" s="10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255"/>
      <c r="X403" s="234">
        <f t="shared" si="24"/>
        <v>0</v>
      </c>
    </row>
    <row r="404" spans="1:24" outlineLevel="1" x14ac:dyDescent="0.25">
      <c r="A404" s="777"/>
      <c r="B404" s="780"/>
      <c r="C404" s="106" t="s">
        <v>749</v>
      </c>
      <c r="D404" s="60"/>
      <c r="E404" s="60"/>
      <c r="F404" s="60"/>
      <c r="G404" s="60"/>
      <c r="H404" s="60"/>
      <c r="I404" s="60"/>
      <c r="J404" s="60"/>
      <c r="K404" s="60"/>
      <c r="L404" s="111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265"/>
      <c r="X404" s="234">
        <f t="shared" si="24"/>
        <v>0</v>
      </c>
    </row>
    <row r="405" spans="1:24" outlineLevel="1" x14ac:dyDescent="0.25">
      <c r="A405" s="777"/>
      <c r="B405" s="780"/>
      <c r="C405" s="106" t="s">
        <v>750</v>
      </c>
      <c r="D405" s="60"/>
      <c r="E405" s="60"/>
      <c r="F405" s="60"/>
      <c r="G405" s="60"/>
      <c r="H405" s="60"/>
      <c r="I405" s="60"/>
      <c r="J405" s="60"/>
      <c r="K405" s="60"/>
      <c r="L405" s="279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280"/>
      <c r="X405" s="238">
        <f t="shared" si="24"/>
        <v>0</v>
      </c>
    </row>
    <row r="406" spans="1:24" outlineLevel="1" x14ac:dyDescent="0.25">
      <c r="A406" s="777"/>
      <c r="B406" s="780"/>
      <c r="C406" s="106" t="s">
        <v>751</v>
      </c>
      <c r="D406" s="60"/>
      <c r="E406" s="60"/>
      <c r="F406" s="60"/>
      <c r="G406" s="60"/>
      <c r="H406" s="60"/>
      <c r="I406" s="60"/>
      <c r="J406" s="60"/>
      <c r="K406" s="60"/>
      <c r="L406" s="718"/>
      <c r="M406" s="719"/>
      <c r="N406" s="719"/>
      <c r="O406" s="719"/>
      <c r="P406" s="719"/>
      <c r="Q406" s="719"/>
      <c r="R406" s="719"/>
      <c r="S406" s="719"/>
      <c r="T406" s="719"/>
      <c r="U406" s="719"/>
      <c r="V406" s="719"/>
      <c r="W406" s="720"/>
      <c r="X406" s="234">
        <f t="shared" si="24"/>
        <v>0</v>
      </c>
    </row>
    <row r="407" spans="1:24" ht="15.75" outlineLevel="1" thickBot="1" x14ac:dyDescent="0.3">
      <c r="A407" s="777"/>
      <c r="B407" s="781"/>
      <c r="C407" s="105" t="s">
        <v>752</v>
      </c>
      <c r="D407" s="46"/>
      <c r="E407" s="37"/>
      <c r="F407" s="37"/>
      <c r="G407" s="37"/>
      <c r="H407" s="37"/>
      <c r="I407" s="37"/>
      <c r="J407" s="37"/>
      <c r="K407" s="37"/>
      <c r="L407" s="271"/>
      <c r="M407" s="108"/>
      <c r="N407" s="65"/>
      <c r="O407" s="65"/>
      <c r="P407" s="65"/>
      <c r="Q407" s="65"/>
      <c r="R407" s="65"/>
      <c r="S407" s="65"/>
      <c r="T407" s="65"/>
      <c r="U407" s="65"/>
      <c r="V407" s="65"/>
      <c r="W407" s="272"/>
      <c r="X407" s="235">
        <f t="shared" si="24"/>
        <v>0</v>
      </c>
    </row>
    <row r="408" spans="1:24" ht="15.75" outlineLevel="1" thickBot="1" x14ac:dyDescent="0.3">
      <c r="A408" s="777"/>
      <c r="B408" s="100" t="s">
        <v>669</v>
      </c>
      <c r="C408" s="224" t="s">
        <v>71</v>
      </c>
      <c r="D408" s="24"/>
      <c r="E408" s="141"/>
      <c r="F408" s="24">
        <v>2</v>
      </c>
      <c r="G408" s="24">
        <v>2</v>
      </c>
      <c r="H408" s="24">
        <v>3</v>
      </c>
      <c r="I408" s="24">
        <v>1</v>
      </c>
      <c r="J408" s="24">
        <v>3</v>
      </c>
      <c r="K408" s="24">
        <v>3</v>
      </c>
      <c r="L408" s="730"/>
      <c r="M408" s="731"/>
      <c r="N408" s="731"/>
      <c r="O408" s="731"/>
      <c r="P408" s="731"/>
      <c r="Q408" s="731"/>
      <c r="R408" s="731"/>
      <c r="S408" s="731"/>
      <c r="T408" s="731"/>
      <c r="U408" s="731"/>
      <c r="V408" s="731"/>
      <c r="W408" s="732"/>
      <c r="X408" s="239">
        <f t="shared" si="24"/>
        <v>0</v>
      </c>
    </row>
    <row r="409" spans="1:24" outlineLevel="1" x14ac:dyDescent="0.25">
      <c r="A409" s="777"/>
      <c r="B409" s="782" t="s">
        <v>753</v>
      </c>
      <c r="C409" s="107" t="s">
        <v>754</v>
      </c>
      <c r="D409" s="53"/>
      <c r="E409" s="33"/>
      <c r="F409" s="33"/>
      <c r="G409" s="33"/>
      <c r="H409" s="33"/>
      <c r="I409" s="33"/>
      <c r="J409" s="33"/>
      <c r="K409" s="33"/>
      <c r="L409" s="263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264"/>
      <c r="X409" s="236">
        <f t="shared" si="24"/>
        <v>0</v>
      </c>
    </row>
    <row r="410" spans="1:24" outlineLevel="1" x14ac:dyDescent="0.25">
      <c r="A410" s="777"/>
      <c r="B410" s="783"/>
      <c r="C410" s="106" t="s">
        <v>755</v>
      </c>
      <c r="D410" s="60"/>
      <c r="E410" s="60"/>
      <c r="F410" s="60"/>
      <c r="G410" s="60"/>
      <c r="H410" s="60"/>
      <c r="I410" s="60"/>
      <c r="J410" s="60"/>
      <c r="K410" s="60"/>
      <c r="L410" s="10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255"/>
      <c r="X410" s="234">
        <f t="shared" si="24"/>
        <v>0</v>
      </c>
    </row>
    <row r="411" spans="1:24" outlineLevel="1" x14ac:dyDescent="0.25">
      <c r="A411" s="777"/>
      <c r="B411" s="783"/>
      <c r="C411" s="106" t="s">
        <v>756</v>
      </c>
      <c r="D411" s="60"/>
      <c r="E411" s="60"/>
      <c r="F411" s="60"/>
      <c r="G411" s="60"/>
      <c r="H411" s="60"/>
      <c r="I411" s="60"/>
      <c r="J411" s="60"/>
      <c r="K411" s="60"/>
      <c r="L411" s="10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255"/>
      <c r="X411" s="234">
        <f t="shared" si="24"/>
        <v>0</v>
      </c>
    </row>
    <row r="412" spans="1:24" ht="15.75" outlineLevel="1" thickBot="1" x14ac:dyDescent="0.3">
      <c r="A412" s="778"/>
      <c r="B412" s="784"/>
      <c r="C412" s="105" t="s">
        <v>757</v>
      </c>
      <c r="D412" s="46"/>
      <c r="E412" s="37"/>
      <c r="F412" s="37"/>
      <c r="G412" s="37"/>
      <c r="H412" s="37"/>
      <c r="I412" s="37"/>
      <c r="J412" s="37"/>
      <c r="K412" s="37"/>
      <c r="L412" s="25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257"/>
      <c r="X412" s="235">
        <f t="shared" si="24"/>
        <v>0</v>
      </c>
    </row>
    <row r="413" spans="1:24" ht="15.75" thickBot="1" x14ac:dyDescent="0.3">
      <c r="A413" s="760" t="s">
        <v>758</v>
      </c>
      <c r="B413" s="761"/>
      <c r="C413" s="761"/>
      <c r="D413" s="22">
        <v>0</v>
      </c>
      <c r="E413" s="63">
        <v>0</v>
      </c>
      <c r="F413" s="22">
        <v>2</v>
      </c>
      <c r="G413" s="22">
        <v>2</v>
      </c>
      <c r="H413" s="22">
        <v>3</v>
      </c>
      <c r="I413" s="22">
        <v>1</v>
      </c>
      <c r="J413" s="22">
        <v>3</v>
      </c>
      <c r="K413" s="22">
        <v>4</v>
      </c>
      <c r="L413" s="22">
        <f t="shared" ref="L413:X413" si="25">SUM(L386:L412)</f>
        <v>0</v>
      </c>
      <c r="M413" s="22">
        <f t="shared" si="25"/>
        <v>0</v>
      </c>
      <c r="N413" s="22">
        <f t="shared" si="25"/>
        <v>0</v>
      </c>
      <c r="O413" s="22">
        <f t="shared" si="25"/>
        <v>0</v>
      </c>
      <c r="P413" s="22">
        <f t="shared" si="25"/>
        <v>0</v>
      </c>
      <c r="Q413" s="22">
        <f t="shared" si="25"/>
        <v>0</v>
      </c>
      <c r="R413" s="22">
        <f t="shared" si="25"/>
        <v>0</v>
      </c>
      <c r="S413" s="22">
        <f t="shared" si="25"/>
        <v>0</v>
      </c>
      <c r="T413" s="22">
        <f t="shared" si="25"/>
        <v>0</v>
      </c>
      <c r="U413" s="22">
        <f t="shared" si="25"/>
        <v>0</v>
      </c>
      <c r="V413" s="22">
        <f t="shared" si="25"/>
        <v>0</v>
      </c>
      <c r="W413" s="22">
        <f t="shared" si="25"/>
        <v>0</v>
      </c>
      <c r="X413" s="63">
        <f t="shared" si="25"/>
        <v>0</v>
      </c>
    </row>
    <row r="414" spans="1:24" outlineLevel="1" x14ac:dyDescent="0.25">
      <c r="A414" s="776" t="s">
        <v>167</v>
      </c>
      <c r="B414" s="779" t="s">
        <v>759</v>
      </c>
      <c r="C414" s="104" t="s">
        <v>760</v>
      </c>
      <c r="D414" s="53"/>
      <c r="E414" s="33"/>
      <c r="F414" s="33"/>
      <c r="G414" s="33"/>
      <c r="H414" s="33"/>
      <c r="I414" s="33"/>
      <c r="J414" s="33"/>
      <c r="K414" s="33"/>
      <c r="L414" s="258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259"/>
      <c r="X414" s="236">
        <f t="shared" ref="X414:X419" si="26">SUM(L414:W414)</f>
        <v>0</v>
      </c>
    </row>
    <row r="415" spans="1:24" outlineLevel="1" x14ac:dyDescent="0.25">
      <c r="A415" s="777"/>
      <c r="B415" s="780"/>
      <c r="C415" s="103" t="s">
        <v>761</v>
      </c>
      <c r="D415" s="60"/>
      <c r="E415" s="60"/>
      <c r="F415" s="60"/>
      <c r="G415" s="60"/>
      <c r="H415" s="60"/>
      <c r="I415" s="60"/>
      <c r="J415" s="60"/>
      <c r="K415" s="60"/>
      <c r="L415" s="111"/>
      <c r="M415" s="66"/>
      <c r="N415" s="59"/>
      <c r="O415" s="59"/>
      <c r="P415" s="59"/>
      <c r="Q415" s="59"/>
      <c r="R415" s="59"/>
      <c r="S415" s="66"/>
      <c r="T415" s="66"/>
      <c r="U415" s="66"/>
      <c r="V415" s="66"/>
      <c r="W415" s="265"/>
      <c r="X415" s="234">
        <f t="shared" si="26"/>
        <v>0</v>
      </c>
    </row>
    <row r="416" spans="1:24" ht="15.75" outlineLevel="1" thickBot="1" x14ac:dyDescent="0.3">
      <c r="A416" s="777"/>
      <c r="B416" s="781"/>
      <c r="C416" s="102" t="s">
        <v>762</v>
      </c>
      <c r="D416" s="37"/>
      <c r="E416" s="37"/>
      <c r="F416" s="37"/>
      <c r="G416" s="37"/>
      <c r="H416" s="37"/>
      <c r="I416" s="37"/>
      <c r="J416" s="37"/>
      <c r="K416" s="37"/>
      <c r="L416" s="25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257"/>
      <c r="X416" s="235">
        <f t="shared" si="26"/>
        <v>0</v>
      </c>
    </row>
    <row r="417" spans="1:24" ht="15.75" outlineLevel="1" thickBot="1" x14ac:dyDescent="0.3">
      <c r="A417" s="777"/>
      <c r="B417" s="100" t="s">
        <v>763</v>
      </c>
      <c r="C417" s="101" t="s">
        <v>764</v>
      </c>
      <c r="D417" s="24"/>
      <c r="E417" s="24"/>
      <c r="F417" s="24"/>
      <c r="G417" s="24"/>
      <c r="H417" s="24"/>
      <c r="I417" s="24"/>
      <c r="J417" s="24"/>
      <c r="K417" s="24"/>
      <c r="L417" s="29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94"/>
      <c r="X417" s="239">
        <f t="shared" si="26"/>
        <v>0</v>
      </c>
    </row>
    <row r="418" spans="1:24" ht="15.75" outlineLevel="1" thickBot="1" x14ac:dyDescent="0.3">
      <c r="A418" s="777"/>
      <c r="B418" s="100" t="s">
        <v>669</v>
      </c>
      <c r="C418" s="101" t="s">
        <v>168</v>
      </c>
      <c r="D418" s="24"/>
      <c r="E418" s="24"/>
      <c r="F418" s="24"/>
      <c r="G418" s="24"/>
      <c r="H418" s="24"/>
      <c r="I418" s="24"/>
      <c r="J418" s="24"/>
      <c r="K418" s="24"/>
      <c r="L418" s="29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94"/>
      <c r="X418" s="239">
        <f t="shared" si="26"/>
        <v>0</v>
      </c>
    </row>
    <row r="419" spans="1:24" ht="15.75" outlineLevel="1" thickBot="1" x14ac:dyDescent="0.3">
      <c r="A419" s="778"/>
      <c r="B419" s="100" t="s">
        <v>765</v>
      </c>
      <c r="C419" s="99" t="s">
        <v>766</v>
      </c>
      <c r="D419" s="24"/>
      <c r="E419" s="24"/>
      <c r="F419" s="24">
        <v>14</v>
      </c>
      <c r="G419" s="24"/>
      <c r="H419" s="24"/>
      <c r="I419" s="24"/>
      <c r="J419" s="24"/>
      <c r="K419" s="24"/>
      <c r="L419" s="29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94"/>
      <c r="X419" s="239">
        <f t="shared" si="26"/>
        <v>0</v>
      </c>
    </row>
    <row r="420" spans="1:24" ht="15.75" thickBot="1" x14ac:dyDescent="0.3">
      <c r="A420" s="760" t="s">
        <v>767</v>
      </c>
      <c r="B420" s="761"/>
      <c r="C420" s="761"/>
      <c r="D420" s="138">
        <v>0</v>
      </c>
      <c r="E420" s="22">
        <v>0</v>
      </c>
      <c r="F420" s="22">
        <v>14</v>
      </c>
      <c r="G420" s="22">
        <v>0</v>
      </c>
      <c r="H420" s="22">
        <v>0</v>
      </c>
      <c r="I420" s="22">
        <v>0</v>
      </c>
      <c r="J420" s="138">
        <v>0</v>
      </c>
      <c r="K420" s="138">
        <v>0</v>
      </c>
      <c r="L420" s="22">
        <f t="shared" ref="L420:X420" si="27">SUM(L414:L419)</f>
        <v>0</v>
      </c>
      <c r="M420" s="22">
        <f t="shared" si="27"/>
        <v>0</v>
      </c>
      <c r="N420" s="22">
        <f t="shared" si="27"/>
        <v>0</v>
      </c>
      <c r="O420" s="22">
        <f t="shared" si="27"/>
        <v>0</v>
      </c>
      <c r="P420" s="22">
        <f t="shared" si="27"/>
        <v>0</v>
      </c>
      <c r="Q420" s="22">
        <f t="shared" si="27"/>
        <v>0</v>
      </c>
      <c r="R420" s="22">
        <f t="shared" si="27"/>
        <v>0</v>
      </c>
      <c r="S420" s="22">
        <f t="shared" si="27"/>
        <v>0</v>
      </c>
      <c r="T420" s="22">
        <f t="shared" si="27"/>
        <v>0</v>
      </c>
      <c r="U420" s="22">
        <f t="shared" si="27"/>
        <v>0</v>
      </c>
      <c r="V420" s="22">
        <f t="shared" si="27"/>
        <v>0</v>
      </c>
      <c r="W420" s="22">
        <f t="shared" si="27"/>
        <v>0</v>
      </c>
      <c r="X420" s="63">
        <f t="shared" si="27"/>
        <v>0</v>
      </c>
    </row>
    <row r="421" spans="1:24" ht="15.75" thickBot="1" x14ac:dyDescent="0.3">
      <c r="A421" s="799" t="s">
        <v>768</v>
      </c>
      <c r="B421" s="800"/>
      <c r="C421" s="800"/>
      <c r="D421" s="21">
        <v>0</v>
      </c>
      <c r="E421" s="225">
        <v>0</v>
      </c>
      <c r="F421" s="21">
        <v>18</v>
      </c>
      <c r="G421" s="21">
        <v>2</v>
      </c>
      <c r="H421" s="21">
        <v>4</v>
      </c>
      <c r="I421" s="229">
        <v>2</v>
      </c>
      <c r="J421" s="21">
        <v>4</v>
      </c>
      <c r="K421" s="21">
        <v>4</v>
      </c>
      <c r="L421" s="21">
        <f t="shared" ref="L421:X421" si="28">L420+L385+L339+L413</f>
        <v>0</v>
      </c>
      <c r="M421" s="21">
        <f t="shared" si="28"/>
        <v>0</v>
      </c>
      <c r="N421" s="21">
        <f t="shared" si="28"/>
        <v>0</v>
      </c>
      <c r="O421" s="21">
        <f t="shared" si="28"/>
        <v>0</v>
      </c>
      <c r="P421" s="21">
        <f t="shared" si="28"/>
        <v>0</v>
      </c>
      <c r="Q421" s="21">
        <f t="shared" si="28"/>
        <v>0</v>
      </c>
      <c r="R421" s="21">
        <f t="shared" si="28"/>
        <v>0</v>
      </c>
      <c r="S421" s="21">
        <f t="shared" si="28"/>
        <v>0</v>
      </c>
      <c r="T421" s="21">
        <f t="shared" si="28"/>
        <v>0</v>
      </c>
      <c r="U421" s="21">
        <f t="shared" si="28"/>
        <v>0</v>
      </c>
      <c r="V421" s="21">
        <f t="shared" si="28"/>
        <v>0</v>
      </c>
      <c r="W421" s="21">
        <f t="shared" si="28"/>
        <v>0</v>
      </c>
      <c r="X421" s="225">
        <f t="shared" si="28"/>
        <v>0</v>
      </c>
    </row>
    <row r="422" spans="1:24" outlineLevel="1" x14ac:dyDescent="0.25">
      <c r="A422" s="796" t="s">
        <v>769</v>
      </c>
      <c r="B422" s="35" t="s">
        <v>770</v>
      </c>
      <c r="C422" s="91" t="s">
        <v>771</v>
      </c>
      <c r="D422" s="53"/>
      <c r="E422" s="33"/>
      <c r="F422" s="33"/>
      <c r="G422" s="33"/>
      <c r="H422" s="33"/>
      <c r="I422" s="33"/>
      <c r="J422" s="53"/>
      <c r="K422" s="53"/>
      <c r="L422" s="263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264"/>
      <c r="X422" s="236">
        <f t="shared" ref="X422:X443" si="29">SUM(L422:W422)</f>
        <v>0</v>
      </c>
    </row>
    <row r="423" spans="1:24" outlineLevel="1" x14ac:dyDescent="0.25">
      <c r="A423" s="797"/>
      <c r="B423" s="48" t="s">
        <v>772</v>
      </c>
      <c r="C423" s="89" t="s">
        <v>771</v>
      </c>
      <c r="D423" s="60"/>
      <c r="E423" s="60"/>
      <c r="F423" s="60"/>
      <c r="G423" s="60"/>
      <c r="H423" s="60"/>
      <c r="I423" s="60"/>
      <c r="J423" s="60"/>
      <c r="K423" s="60"/>
      <c r="L423" s="111"/>
      <c r="M423" s="66"/>
      <c r="N423" s="66"/>
      <c r="O423" s="66"/>
      <c r="P423" s="66"/>
      <c r="Q423" s="66"/>
      <c r="R423" s="66"/>
      <c r="S423" s="66"/>
      <c r="T423" s="66"/>
      <c r="U423" s="66"/>
      <c r="V423" s="69"/>
      <c r="W423" s="267"/>
      <c r="X423" s="234">
        <f t="shared" si="29"/>
        <v>0</v>
      </c>
    </row>
    <row r="424" spans="1:24" outlineLevel="1" x14ac:dyDescent="0.25">
      <c r="A424" s="797"/>
      <c r="B424" s="48" t="s">
        <v>773</v>
      </c>
      <c r="C424" s="89" t="s">
        <v>774</v>
      </c>
      <c r="D424" s="60"/>
      <c r="E424" s="60"/>
      <c r="F424" s="60"/>
      <c r="G424" s="60"/>
      <c r="H424" s="60"/>
      <c r="I424" s="60"/>
      <c r="J424" s="60"/>
      <c r="K424" s="60"/>
      <c r="L424" s="111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265"/>
      <c r="X424" s="234">
        <f t="shared" si="29"/>
        <v>0</v>
      </c>
    </row>
    <row r="425" spans="1:24" outlineLevel="1" x14ac:dyDescent="0.25">
      <c r="A425" s="797"/>
      <c r="B425" s="48" t="s">
        <v>775</v>
      </c>
      <c r="C425" s="89" t="s">
        <v>774</v>
      </c>
      <c r="D425" s="60"/>
      <c r="E425" s="60"/>
      <c r="F425" s="60"/>
      <c r="G425" s="60"/>
      <c r="H425" s="60"/>
      <c r="I425" s="60"/>
      <c r="J425" s="60"/>
      <c r="K425" s="60"/>
      <c r="L425" s="111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265"/>
      <c r="X425" s="234">
        <f t="shared" si="29"/>
        <v>0</v>
      </c>
    </row>
    <row r="426" spans="1:24" outlineLevel="1" x14ac:dyDescent="0.25">
      <c r="A426" s="797"/>
      <c r="B426" s="48" t="s">
        <v>239</v>
      </c>
      <c r="C426" s="89" t="s">
        <v>774</v>
      </c>
      <c r="D426" s="60"/>
      <c r="E426" s="60"/>
      <c r="F426" s="60"/>
      <c r="G426" s="60"/>
      <c r="H426" s="60"/>
      <c r="I426" s="60"/>
      <c r="J426" s="60"/>
      <c r="K426" s="60"/>
      <c r="L426" s="111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265"/>
      <c r="X426" s="234">
        <f t="shared" si="29"/>
        <v>0</v>
      </c>
    </row>
    <row r="427" spans="1:24" ht="15.75" outlineLevel="1" thickBot="1" x14ac:dyDescent="0.3">
      <c r="A427" s="797"/>
      <c r="B427" s="48" t="s">
        <v>776</v>
      </c>
      <c r="C427" s="89" t="s">
        <v>777</v>
      </c>
      <c r="D427" s="46"/>
      <c r="E427" s="46"/>
      <c r="F427" s="46"/>
      <c r="G427" s="46"/>
      <c r="H427" s="46"/>
      <c r="I427" s="46"/>
      <c r="J427" s="46"/>
      <c r="K427" s="46"/>
      <c r="L427" s="268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269"/>
      <c r="X427" s="237">
        <f t="shared" si="29"/>
        <v>0</v>
      </c>
    </row>
    <row r="428" spans="1:24" ht="15.75" outlineLevel="1" thickBot="1" x14ac:dyDescent="0.3">
      <c r="A428" s="797"/>
      <c r="B428" s="48" t="s">
        <v>48</v>
      </c>
      <c r="C428" s="89" t="s">
        <v>777</v>
      </c>
      <c r="D428" s="24"/>
      <c r="E428" s="226"/>
      <c r="F428" s="24"/>
      <c r="G428" s="226"/>
      <c r="H428" s="33"/>
      <c r="I428" s="226"/>
      <c r="J428" s="24"/>
      <c r="K428" s="24">
        <v>1</v>
      </c>
      <c r="L428" s="111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242">
        <f t="shared" si="29"/>
        <v>0</v>
      </c>
    </row>
    <row r="429" spans="1:24" outlineLevel="1" x14ac:dyDescent="0.25">
      <c r="A429" s="797"/>
      <c r="B429" s="97" t="s">
        <v>778</v>
      </c>
      <c r="C429" s="96" t="s">
        <v>779</v>
      </c>
      <c r="D429" s="223"/>
      <c r="E429" s="46"/>
      <c r="F429" s="223"/>
      <c r="G429" s="46"/>
      <c r="H429" s="223"/>
      <c r="I429" s="46"/>
      <c r="J429" s="223"/>
      <c r="K429" s="223"/>
      <c r="L429" s="268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269"/>
      <c r="X429" s="237">
        <f t="shared" si="29"/>
        <v>0</v>
      </c>
    </row>
    <row r="430" spans="1:24" ht="15.75" outlineLevel="1" thickBot="1" x14ac:dyDescent="0.3">
      <c r="A430" s="798"/>
      <c r="B430" s="31" t="s">
        <v>362</v>
      </c>
      <c r="C430" s="93" t="s">
        <v>779</v>
      </c>
      <c r="D430" s="37"/>
      <c r="E430" s="37"/>
      <c r="F430" s="37"/>
      <c r="G430" s="37"/>
      <c r="H430" s="37"/>
      <c r="I430" s="37"/>
      <c r="J430" s="37"/>
      <c r="K430" s="37"/>
      <c r="L430" s="271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272"/>
      <c r="X430" s="235">
        <f t="shared" si="29"/>
        <v>0</v>
      </c>
    </row>
    <row r="431" spans="1:24" outlineLevel="1" x14ac:dyDescent="0.25">
      <c r="A431" s="796" t="s">
        <v>780</v>
      </c>
      <c r="B431" s="35" t="s">
        <v>781</v>
      </c>
      <c r="C431" s="91" t="s">
        <v>782</v>
      </c>
      <c r="D431" s="33"/>
      <c r="E431" s="33"/>
      <c r="F431" s="33"/>
      <c r="G431" s="33"/>
      <c r="H431" s="33"/>
      <c r="I431" s="33"/>
      <c r="J431" s="33"/>
      <c r="K431" s="33"/>
      <c r="L431" s="263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264"/>
      <c r="X431" s="236">
        <f t="shared" si="29"/>
        <v>0</v>
      </c>
    </row>
    <row r="432" spans="1:24" outlineLevel="1" x14ac:dyDescent="0.25">
      <c r="A432" s="797"/>
      <c r="B432" s="48" t="s">
        <v>783</v>
      </c>
      <c r="C432" s="89" t="s">
        <v>782</v>
      </c>
      <c r="D432" s="60"/>
      <c r="E432" s="60"/>
      <c r="F432" s="60"/>
      <c r="G432" s="60"/>
      <c r="H432" s="60"/>
      <c r="I432" s="60"/>
      <c r="J432" s="60"/>
      <c r="K432" s="60"/>
      <c r="L432" s="111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265"/>
      <c r="X432" s="234">
        <f t="shared" si="29"/>
        <v>0</v>
      </c>
    </row>
    <row r="433" spans="1:24" outlineLevel="1" x14ac:dyDescent="0.25">
      <c r="A433" s="797"/>
      <c r="B433" s="48" t="s">
        <v>784</v>
      </c>
      <c r="C433" s="89" t="s">
        <v>785</v>
      </c>
      <c r="D433" s="60"/>
      <c r="E433" s="60"/>
      <c r="F433" s="60"/>
      <c r="G433" s="60"/>
      <c r="H433" s="60"/>
      <c r="I433" s="60"/>
      <c r="J433" s="60"/>
      <c r="K433" s="60"/>
      <c r="L433" s="111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265"/>
      <c r="X433" s="234">
        <f t="shared" si="29"/>
        <v>0</v>
      </c>
    </row>
    <row r="434" spans="1:24" outlineLevel="1" x14ac:dyDescent="0.25">
      <c r="A434" s="797"/>
      <c r="B434" s="48" t="s">
        <v>786</v>
      </c>
      <c r="C434" s="89" t="s">
        <v>785</v>
      </c>
      <c r="D434" s="60"/>
      <c r="E434" s="60"/>
      <c r="F434" s="60"/>
      <c r="G434" s="60"/>
      <c r="H434" s="60"/>
      <c r="I434" s="60"/>
      <c r="J434" s="60"/>
      <c r="K434" s="60"/>
      <c r="L434" s="111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265"/>
      <c r="X434" s="234">
        <f t="shared" si="29"/>
        <v>0</v>
      </c>
    </row>
    <row r="435" spans="1:24" outlineLevel="1" x14ac:dyDescent="0.25">
      <c r="A435" s="797"/>
      <c r="B435" s="48" t="s">
        <v>787</v>
      </c>
      <c r="C435" s="89" t="s">
        <v>788</v>
      </c>
      <c r="D435" s="60"/>
      <c r="E435" s="60"/>
      <c r="F435" s="60"/>
      <c r="G435" s="60"/>
      <c r="H435" s="60"/>
      <c r="I435" s="60"/>
      <c r="J435" s="60"/>
      <c r="K435" s="60"/>
      <c r="L435" s="111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265"/>
      <c r="X435" s="234">
        <f t="shared" si="29"/>
        <v>0</v>
      </c>
    </row>
    <row r="436" spans="1:24" outlineLevel="1" x14ac:dyDescent="0.25">
      <c r="A436" s="797"/>
      <c r="B436" s="48" t="s">
        <v>789</v>
      </c>
      <c r="C436" s="89" t="s">
        <v>788</v>
      </c>
      <c r="D436" s="60"/>
      <c r="E436" s="60"/>
      <c r="F436" s="60"/>
      <c r="G436" s="60"/>
      <c r="H436" s="60"/>
      <c r="I436" s="60"/>
      <c r="J436" s="60"/>
      <c r="K436" s="60"/>
      <c r="L436" s="111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265"/>
      <c r="X436" s="234">
        <f t="shared" si="29"/>
        <v>0</v>
      </c>
    </row>
    <row r="437" spans="1:24" outlineLevel="1" x14ac:dyDescent="0.25">
      <c r="A437" s="797"/>
      <c r="B437" s="48" t="s">
        <v>790</v>
      </c>
      <c r="C437" s="89" t="s">
        <v>788</v>
      </c>
      <c r="D437" s="60"/>
      <c r="E437" s="60"/>
      <c r="F437" s="60"/>
      <c r="G437" s="60"/>
      <c r="H437" s="60"/>
      <c r="I437" s="60"/>
      <c r="J437" s="60"/>
      <c r="K437" s="60"/>
      <c r="L437" s="111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265"/>
      <c r="X437" s="234">
        <f t="shared" si="29"/>
        <v>0</v>
      </c>
    </row>
    <row r="438" spans="1:24" outlineLevel="1" x14ac:dyDescent="0.25">
      <c r="A438" s="797"/>
      <c r="B438" s="48" t="s">
        <v>791</v>
      </c>
      <c r="C438" s="89" t="s">
        <v>792</v>
      </c>
      <c r="D438" s="60"/>
      <c r="E438" s="60"/>
      <c r="F438" s="60"/>
      <c r="G438" s="60"/>
      <c r="H438" s="60"/>
      <c r="I438" s="60"/>
      <c r="J438" s="60"/>
      <c r="K438" s="60"/>
      <c r="L438" s="111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265"/>
      <c r="X438" s="234">
        <f t="shared" si="29"/>
        <v>0</v>
      </c>
    </row>
    <row r="439" spans="1:24" outlineLevel="1" x14ac:dyDescent="0.25">
      <c r="A439" s="797"/>
      <c r="B439" s="48" t="s">
        <v>793</v>
      </c>
      <c r="C439" s="89" t="s">
        <v>792</v>
      </c>
      <c r="D439" s="60"/>
      <c r="E439" s="60"/>
      <c r="F439" s="60"/>
      <c r="G439" s="60"/>
      <c r="H439" s="60"/>
      <c r="I439" s="60"/>
      <c r="J439" s="60"/>
      <c r="K439" s="60"/>
      <c r="L439" s="111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265"/>
      <c r="X439" s="234">
        <f t="shared" si="29"/>
        <v>0</v>
      </c>
    </row>
    <row r="440" spans="1:24" outlineLevel="1" x14ac:dyDescent="0.25">
      <c r="A440" s="797"/>
      <c r="B440" s="48" t="s">
        <v>794</v>
      </c>
      <c r="C440" s="89" t="s">
        <v>792</v>
      </c>
      <c r="D440" s="60"/>
      <c r="E440" s="60"/>
      <c r="F440" s="60"/>
      <c r="G440" s="60"/>
      <c r="H440" s="60"/>
      <c r="I440" s="60"/>
      <c r="J440" s="60"/>
      <c r="K440" s="60"/>
      <c r="L440" s="718"/>
      <c r="M440" s="719"/>
      <c r="N440" s="719"/>
      <c r="O440" s="719"/>
      <c r="P440" s="719"/>
      <c r="Q440" s="719"/>
      <c r="R440" s="719"/>
      <c r="S440" s="719"/>
      <c r="T440" s="719"/>
      <c r="U440" s="719"/>
      <c r="V440" s="719"/>
      <c r="W440" s="720"/>
      <c r="X440" s="234">
        <f t="shared" si="29"/>
        <v>0</v>
      </c>
    </row>
    <row r="441" spans="1:24" outlineLevel="1" x14ac:dyDescent="0.25">
      <c r="A441" s="797"/>
      <c r="B441" s="48" t="s">
        <v>795</v>
      </c>
      <c r="C441" s="89" t="s">
        <v>796</v>
      </c>
      <c r="D441" s="60"/>
      <c r="E441" s="60"/>
      <c r="F441" s="60"/>
      <c r="G441" s="60"/>
      <c r="H441" s="60">
        <v>1</v>
      </c>
      <c r="I441" s="60">
        <v>1</v>
      </c>
      <c r="J441" s="60"/>
      <c r="K441" s="60"/>
      <c r="L441" s="111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265"/>
      <c r="X441" s="234">
        <f t="shared" si="29"/>
        <v>0</v>
      </c>
    </row>
    <row r="442" spans="1:24" ht="15.75" outlineLevel="1" thickBot="1" x14ac:dyDescent="0.3">
      <c r="A442" s="798"/>
      <c r="B442" s="31" t="s">
        <v>797</v>
      </c>
      <c r="C442" s="93" t="s">
        <v>798</v>
      </c>
      <c r="D442" s="37"/>
      <c r="E442" s="37"/>
      <c r="F442" s="37"/>
      <c r="G442" s="37"/>
      <c r="H442" s="37"/>
      <c r="I442" s="37"/>
      <c r="J442" s="37"/>
      <c r="K442" s="37"/>
      <c r="L442" s="271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272"/>
      <c r="X442" s="235">
        <f t="shared" si="29"/>
        <v>0</v>
      </c>
    </row>
    <row r="443" spans="1:24" outlineLevel="1" x14ac:dyDescent="0.25">
      <c r="A443" s="796" t="s">
        <v>799</v>
      </c>
      <c r="B443" s="51" t="s">
        <v>800</v>
      </c>
      <c r="C443" s="92" t="s">
        <v>792</v>
      </c>
      <c r="D443" s="50"/>
      <c r="E443" s="50"/>
      <c r="F443" s="50"/>
      <c r="G443" s="50"/>
      <c r="H443" s="50"/>
      <c r="I443" s="50"/>
      <c r="J443" s="50"/>
      <c r="K443" s="50"/>
      <c r="L443" s="724"/>
      <c r="M443" s="725"/>
      <c r="N443" s="725"/>
      <c r="O443" s="725"/>
      <c r="P443" s="725"/>
      <c r="Q443" s="725"/>
      <c r="R443" s="725"/>
      <c r="S443" s="725"/>
      <c r="T443" s="725"/>
      <c r="U443" s="725"/>
      <c r="V443" s="725"/>
      <c r="W443" s="726"/>
      <c r="X443" s="240">
        <f t="shared" si="29"/>
        <v>0</v>
      </c>
    </row>
    <row r="444" spans="1:24" ht="15.75" outlineLevel="1" thickBot="1" x14ac:dyDescent="0.3">
      <c r="A444" s="797"/>
      <c r="B444" s="48" t="s">
        <v>801</v>
      </c>
      <c r="C444" s="89" t="s">
        <v>792</v>
      </c>
      <c r="D444" s="37"/>
      <c r="E444" s="226"/>
      <c r="F444" s="37"/>
      <c r="G444" s="226"/>
      <c r="H444" s="37"/>
      <c r="I444" s="226"/>
      <c r="J444" s="60"/>
      <c r="K444" s="60">
        <v>1</v>
      </c>
      <c r="L444" s="111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265"/>
      <c r="X444" s="234">
        <f t="shared" ref="X444:X471" si="30">SUM(L444:W444)</f>
        <v>0</v>
      </c>
    </row>
    <row r="445" spans="1:24" outlineLevel="1" x14ac:dyDescent="0.25">
      <c r="A445" s="797"/>
      <c r="B445" s="48" t="s">
        <v>802</v>
      </c>
      <c r="C445" s="89" t="s">
        <v>792</v>
      </c>
      <c r="D445" s="53"/>
      <c r="E445" s="60"/>
      <c r="F445" s="53"/>
      <c r="G445" s="60"/>
      <c r="H445" s="53"/>
      <c r="I445" s="60"/>
      <c r="J445" s="53"/>
      <c r="K445" s="53"/>
      <c r="L445" s="111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265"/>
      <c r="X445" s="234">
        <f t="shared" si="30"/>
        <v>0</v>
      </c>
    </row>
    <row r="446" spans="1:24" ht="15.75" outlineLevel="1" thickBot="1" x14ac:dyDescent="0.3">
      <c r="A446" s="798"/>
      <c r="B446" s="48" t="s">
        <v>803</v>
      </c>
      <c r="C446" s="89" t="s">
        <v>792</v>
      </c>
      <c r="D446" s="60"/>
      <c r="E446" s="60"/>
      <c r="F446" s="60"/>
      <c r="G446" s="60"/>
      <c r="H446" s="60"/>
      <c r="I446" s="60"/>
      <c r="J446" s="60"/>
      <c r="K446" s="60"/>
      <c r="L446" s="111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265"/>
      <c r="X446" s="234">
        <f t="shared" si="30"/>
        <v>0</v>
      </c>
    </row>
    <row r="447" spans="1:24" outlineLevel="1" x14ac:dyDescent="0.25">
      <c r="A447" s="796" t="s">
        <v>804</v>
      </c>
      <c r="B447" s="35" t="s">
        <v>805</v>
      </c>
      <c r="C447" s="91" t="s">
        <v>806</v>
      </c>
      <c r="D447" s="33"/>
      <c r="E447" s="33"/>
      <c r="F447" s="33"/>
      <c r="G447" s="33"/>
      <c r="H447" s="33"/>
      <c r="I447" s="33"/>
      <c r="J447" s="33"/>
      <c r="K447" s="33"/>
      <c r="L447" s="263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264"/>
      <c r="X447" s="236">
        <f t="shared" si="30"/>
        <v>0</v>
      </c>
    </row>
    <row r="448" spans="1:24" outlineLevel="1" x14ac:dyDescent="0.25">
      <c r="A448" s="797"/>
      <c r="B448" s="75" t="s">
        <v>807</v>
      </c>
      <c r="C448" s="90" t="s">
        <v>806</v>
      </c>
      <c r="D448" s="53"/>
      <c r="E448" s="53"/>
      <c r="F448" s="53"/>
      <c r="G448" s="53"/>
      <c r="H448" s="53"/>
      <c r="I448" s="53"/>
      <c r="J448" s="53"/>
      <c r="K448" s="53"/>
      <c r="L448" s="279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280"/>
      <c r="X448" s="238">
        <f t="shared" si="30"/>
        <v>0</v>
      </c>
    </row>
    <row r="449" spans="1:24" ht="15.75" outlineLevel="1" thickBot="1" x14ac:dyDescent="0.3">
      <c r="A449" s="797"/>
      <c r="B449" s="75" t="s">
        <v>808</v>
      </c>
      <c r="C449" s="90" t="s">
        <v>809</v>
      </c>
      <c r="D449" s="223"/>
      <c r="E449" s="53"/>
      <c r="F449" s="223"/>
      <c r="G449" s="53"/>
      <c r="H449" s="223"/>
      <c r="I449" s="53"/>
      <c r="J449" s="223"/>
      <c r="K449" s="223"/>
      <c r="L449" s="279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280"/>
      <c r="X449" s="238">
        <f t="shared" si="30"/>
        <v>0</v>
      </c>
    </row>
    <row r="450" spans="1:24" ht="15.75" outlineLevel="1" thickBot="1" x14ac:dyDescent="0.3">
      <c r="A450" s="798"/>
      <c r="B450" s="48" t="s">
        <v>810</v>
      </c>
      <c r="C450" s="89" t="s">
        <v>809</v>
      </c>
      <c r="D450" s="24"/>
      <c r="E450" s="226"/>
      <c r="F450" s="24"/>
      <c r="G450" s="226"/>
      <c r="H450" s="24"/>
      <c r="I450" s="226"/>
      <c r="J450" s="24"/>
      <c r="K450" s="24">
        <v>1</v>
      </c>
      <c r="L450" s="111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265"/>
      <c r="X450" s="234">
        <f t="shared" si="30"/>
        <v>0</v>
      </c>
    </row>
    <row r="451" spans="1:24" outlineLevel="1" x14ac:dyDescent="0.25">
      <c r="A451" s="796" t="s">
        <v>811</v>
      </c>
      <c r="B451" s="35" t="s">
        <v>812</v>
      </c>
      <c r="C451" s="34" t="s">
        <v>813</v>
      </c>
      <c r="D451" s="53"/>
      <c r="E451" s="33"/>
      <c r="F451" s="53"/>
      <c r="G451" s="33"/>
      <c r="H451" s="53"/>
      <c r="I451" s="33"/>
      <c r="J451" s="53"/>
      <c r="K451" s="53"/>
      <c r="L451" s="263"/>
      <c r="M451" s="73"/>
      <c r="N451" s="68"/>
      <c r="O451" s="68"/>
      <c r="P451" s="68"/>
      <c r="Q451" s="68"/>
      <c r="R451" s="68"/>
      <c r="S451" s="68"/>
      <c r="T451" s="68"/>
      <c r="U451" s="68"/>
      <c r="V451" s="68"/>
      <c r="W451" s="264"/>
      <c r="X451" s="236">
        <f t="shared" si="30"/>
        <v>0</v>
      </c>
    </row>
    <row r="452" spans="1:24" outlineLevel="1" x14ac:dyDescent="0.25">
      <c r="A452" s="797"/>
      <c r="B452" s="48" t="s">
        <v>814</v>
      </c>
      <c r="C452" s="67" t="s">
        <v>815</v>
      </c>
      <c r="D452" s="60"/>
      <c r="E452" s="60"/>
      <c r="F452" s="60"/>
      <c r="G452" s="60"/>
      <c r="H452" s="60"/>
      <c r="I452" s="60"/>
      <c r="J452" s="60"/>
      <c r="K452" s="60"/>
      <c r="L452" s="111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265"/>
      <c r="X452" s="234">
        <f t="shared" si="30"/>
        <v>0</v>
      </c>
    </row>
    <row r="453" spans="1:24" ht="15.75" outlineLevel="1" thickBot="1" x14ac:dyDescent="0.3">
      <c r="A453" s="798"/>
      <c r="B453" s="31" t="s">
        <v>45</v>
      </c>
      <c r="C453" s="30" t="s">
        <v>816</v>
      </c>
      <c r="D453" s="37"/>
      <c r="E453" s="37"/>
      <c r="F453" s="37"/>
      <c r="G453" s="37"/>
      <c r="H453" s="37"/>
      <c r="I453" s="37"/>
      <c r="J453" s="37"/>
      <c r="K453" s="37"/>
      <c r="L453" s="271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272"/>
      <c r="X453" s="235">
        <f t="shared" si="30"/>
        <v>0</v>
      </c>
    </row>
    <row r="454" spans="1:24" outlineLevel="1" x14ac:dyDescent="0.25">
      <c r="A454" s="806" t="s">
        <v>817</v>
      </c>
      <c r="B454" s="42" t="s">
        <v>818</v>
      </c>
      <c r="C454" s="41" t="s">
        <v>819</v>
      </c>
      <c r="D454" s="40"/>
      <c r="E454" s="40"/>
      <c r="F454" s="40"/>
      <c r="G454" s="40"/>
      <c r="H454" s="40"/>
      <c r="I454" s="40"/>
      <c r="J454" s="40"/>
      <c r="K454" s="40"/>
      <c r="L454" s="300"/>
      <c r="M454" s="87"/>
      <c r="N454" s="88"/>
      <c r="O454" s="88"/>
      <c r="P454" s="88"/>
      <c r="Q454" s="88"/>
      <c r="R454" s="88"/>
      <c r="S454" s="87"/>
      <c r="T454" s="87"/>
      <c r="U454" s="87"/>
      <c r="V454" s="87"/>
      <c r="W454" s="301"/>
      <c r="X454" s="243">
        <f t="shared" si="30"/>
        <v>0</v>
      </c>
    </row>
    <row r="455" spans="1:24" outlineLevel="1" x14ac:dyDescent="0.25">
      <c r="A455" s="807"/>
      <c r="B455" s="86" t="s">
        <v>820</v>
      </c>
      <c r="C455" s="85" t="s">
        <v>821</v>
      </c>
      <c r="D455" s="81"/>
      <c r="E455" s="81"/>
      <c r="F455" s="81"/>
      <c r="G455" s="81"/>
      <c r="H455" s="81"/>
      <c r="I455" s="81"/>
      <c r="J455" s="81"/>
      <c r="K455" s="81"/>
      <c r="L455" s="302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303"/>
      <c r="X455" s="244">
        <f t="shared" si="30"/>
        <v>0</v>
      </c>
    </row>
    <row r="456" spans="1:24" outlineLevel="1" x14ac:dyDescent="0.25">
      <c r="A456" s="807"/>
      <c r="B456" s="86" t="s">
        <v>822</v>
      </c>
      <c r="C456" s="85" t="s">
        <v>823</v>
      </c>
      <c r="D456" s="81"/>
      <c r="E456" s="81"/>
      <c r="F456" s="81"/>
      <c r="G456" s="81"/>
      <c r="H456" s="81"/>
      <c r="I456" s="81"/>
      <c r="J456" s="81"/>
      <c r="K456" s="81"/>
      <c r="L456" s="304"/>
      <c r="M456" s="84"/>
      <c r="N456" s="83"/>
      <c r="O456" s="83"/>
      <c r="P456" s="83"/>
      <c r="Q456" s="83"/>
      <c r="R456" s="83"/>
      <c r="S456" s="82"/>
      <c r="T456" s="82"/>
      <c r="U456" s="82"/>
      <c r="V456" s="82"/>
      <c r="W456" s="305"/>
      <c r="X456" s="244">
        <f t="shared" si="30"/>
        <v>0</v>
      </c>
    </row>
    <row r="457" spans="1:24" ht="15.75" outlineLevel="1" thickBot="1" x14ac:dyDescent="0.3">
      <c r="A457" s="808"/>
      <c r="B457" s="80" t="s">
        <v>824</v>
      </c>
      <c r="C457" s="79" t="s">
        <v>825</v>
      </c>
      <c r="D457" s="76"/>
      <c r="E457" s="76"/>
      <c r="F457" s="76"/>
      <c r="G457" s="76"/>
      <c r="H457" s="76"/>
      <c r="I457" s="76"/>
      <c r="J457" s="76"/>
      <c r="K457" s="76"/>
      <c r="L457" s="306"/>
      <c r="M457" s="78"/>
      <c r="N457" s="78"/>
      <c r="O457" s="78"/>
      <c r="P457" s="78"/>
      <c r="Q457" s="78"/>
      <c r="R457" s="78"/>
      <c r="S457" s="77"/>
      <c r="T457" s="77"/>
      <c r="U457" s="77"/>
      <c r="V457" s="77"/>
      <c r="W457" s="307"/>
      <c r="X457" s="245">
        <f t="shared" si="30"/>
        <v>0</v>
      </c>
    </row>
    <row r="458" spans="1:24" outlineLevel="1" x14ac:dyDescent="0.25">
      <c r="A458" s="796" t="s">
        <v>826</v>
      </c>
      <c r="B458" s="35" t="s">
        <v>827</v>
      </c>
      <c r="C458" s="34" t="s">
        <v>819</v>
      </c>
      <c r="D458" s="33"/>
      <c r="E458" s="33"/>
      <c r="F458" s="33"/>
      <c r="G458" s="33"/>
      <c r="H458" s="33"/>
      <c r="I458" s="33"/>
      <c r="J458" s="33"/>
      <c r="K458" s="33"/>
      <c r="L458" s="258"/>
      <c r="M458" s="73"/>
      <c r="N458" s="68"/>
      <c r="O458" s="68"/>
      <c r="P458" s="68"/>
      <c r="Q458" s="68"/>
      <c r="R458" s="68"/>
      <c r="S458" s="32"/>
      <c r="T458" s="32"/>
      <c r="U458" s="32"/>
      <c r="V458" s="32"/>
      <c r="W458" s="259"/>
      <c r="X458" s="236">
        <f t="shared" si="30"/>
        <v>0</v>
      </c>
    </row>
    <row r="459" spans="1:24" outlineLevel="1" x14ac:dyDescent="0.25">
      <c r="A459" s="797"/>
      <c r="B459" s="75" t="s">
        <v>43</v>
      </c>
      <c r="C459" s="47" t="s">
        <v>828</v>
      </c>
      <c r="D459" s="53"/>
      <c r="E459" s="53"/>
      <c r="F459" s="53"/>
      <c r="G459" s="53"/>
      <c r="H459" s="53"/>
      <c r="I459" s="53"/>
      <c r="J459" s="53"/>
      <c r="K459" s="53"/>
      <c r="L459" s="282"/>
      <c r="M459" s="71"/>
      <c r="N459" s="70"/>
      <c r="O459" s="70"/>
      <c r="P459" s="70"/>
      <c r="Q459" s="70"/>
      <c r="R459" s="70"/>
      <c r="S459" s="52"/>
      <c r="T459" s="52"/>
      <c r="U459" s="52"/>
      <c r="V459" s="52"/>
      <c r="W459" s="254"/>
      <c r="X459" s="238">
        <f t="shared" si="30"/>
        <v>0</v>
      </c>
    </row>
    <row r="460" spans="1:24" outlineLevel="1" x14ac:dyDescent="0.25">
      <c r="A460" s="797"/>
      <c r="B460" s="48" t="s">
        <v>43</v>
      </c>
      <c r="C460" s="67" t="s">
        <v>828</v>
      </c>
      <c r="D460" s="60"/>
      <c r="E460" s="60"/>
      <c r="F460" s="60"/>
      <c r="G460" s="60"/>
      <c r="H460" s="60"/>
      <c r="I460" s="60"/>
      <c r="J460" s="60"/>
      <c r="K460" s="60"/>
      <c r="L460" s="314"/>
      <c r="M460" s="170"/>
      <c r="N460" s="66"/>
      <c r="O460" s="66"/>
      <c r="P460" s="66"/>
      <c r="Q460" s="66"/>
      <c r="R460" s="66"/>
      <c r="S460" s="59"/>
      <c r="T460" s="59"/>
      <c r="U460" s="59"/>
      <c r="V460" s="59"/>
      <c r="W460" s="255"/>
      <c r="X460" s="234">
        <f t="shared" si="30"/>
        <v>0</v>
      </c>
    </row>
    <row r="461" spans="1:24" outlineLevel="1" x14ac:dyDescent="0.25">
      <c r="A461" s="797"/>
      <c r="B461" s="48" t="s">
        <v>829</v>
      </c>
      <c r="C461" s="67" t="s">
        <v>825</v>
      </c>
      <c r="D461" s="60"/>
      <c r="E461" s="60"/>
      <c r="F461" s="60"/>
      <c r="G461" s="60"/>
      <c r="H461" s="60"/>
      <c r="I461" s="60"/>
      <c r="J461" s="60"/>
      <c r="K461" s="60"/>
      <c r="L461" s="109"/>
      <c r="M461" s="66"/>
      <c r="N461" s="66"/>
      <c r="O461" s="66"/>
      <c r="P461" s="66"/>
      <c r="Q461" s="66"/>
      <c r="R461" s="66"/>
      <c r="S461" s="59"/>
      <c r="T461" s="59"/>
      <c r="U461" s="59"/>
      <c r="V461" s="59"/>
      <c r="W461" s="255"/>
      <c r="X461" s="234">
        <f t="shared" si="30"/>
        <v>0</v>
      </c>
    </row>
    <row r="462" spans="1:24" outlineLevel="1" x14ac:dyDescent="0.25">
      <c r="A462" s="797"/>
      <c r="B462" s="48" t="s">
        <v>830</v>
      </c>
      <c r="C462" s="67" t="s">
        <v>831</v>
      </c>
      <c r="D462" s="60"/>
      <c r="E462" s="60"/>
      <c r="F462" s="60"/>
      <c r="G462" s="60"/>
      <c r="H462" s="60"/>
      <c r="I462" s="60"/>
      <c r="J462" s="60"/>
      <c r="K462" s="60"/>
      <c r="L462" s="109"/>
      <c r="M462" s="66"/>
      <c r="N462" s="66"/>
      <c r="O462" s="66"/>
      <c r="P462" s="66"/>
      <c r="Q462" s="66"/>
      <c r="R462" s="66"/>
      <c r="S462" s="59"/>
      <c r="T462" s="59"/>
      <c r="U462" s="59"/>
      <c r="V462" s="59"/>
      <c r="W462" s="255"/>
      <c r="X462" s="234">
        <f t="shared" si="30"/>
        <v>0</v>
      </c>
    </row>
    <row r="463" spans="1:24" ht="15.75" outlineLevel="1" thickBot="1" x14ac:dyDescent="0.3">
      <c r="A463" s="797"/>
      <c r="B463" s="48" t="s">
        <v>832</v>
      </c>
      <c r="C463" s="67" t="s">
        <v>833</v>
      </c>
      <c r="D463" s="60"/>
      <c r="E463" s="60"/>
      <c r="F463" s="60"/>
      <c r="G463" s="60"/>
      <c r="H463" s="60"/>
      <c r="I463" s="60"/>
      <c r="J463" s="60"/>
      <c r="K463" s="60"/>
      <c r="L463" s="109"/>
      <c r="M463" s="66"/>
      <c r="N463" s="66"/>
      <c r="O463" s="66"/>
      <c r="P463" s="66"/>
      <c r="Q463" s="66"/>
      <c r="R463" s="66"/>
      <c r="S463" s="59"/>
      <c r="T463" s="59"/>
      <c r="U463" s="59"/>
      <c r="V463" s="59"/>
      <c r="W463" s="255"/>
      <c r="X463" s="234">
        <f t="shared" si="30"/>
        <v>0</v>
      </c>
    </row>
    <row r="464" spans="1:24" outlineLevel="1" x14ac:dyDescent="0.25">
      <c r="A464" s="796" t="s">
        <v>834</v>
      </c>
      <c r="B464" s="35" t="s">
        <v>835</v>
      </c>
      <c r="C464" s="74" t="s">
        <v>836</v>
      </c>
      <c r="D464" s="33"/>
      <c r="E464" s="33"/>
      <c r="F464" s="33"/>
      <c r="G464" s="33"/>
      <c r="H464" s="33"/>
      <c r="I464" s="33"/>
      <c r="J464" s="33"/>
      <c r="K464" s="33"/>
      <c r="L464" s="258"/>
      <c r="M464" s="73"/>
      <c r="N464" s="68"/>
      <c r="O464" s="68"/>
      <c r="P464" s="68"/>
      <c r="Q464" s="68"/>
      <c r="R464" s="68"/>
      <c r="S464" s="32"/>
      <c r="T464" s="32"/>
      <c r="U464" s="32"/>
      <c r="V464" s="32"/>
      <c r="W464" s="259"/>
      <c r="X464" s="236">
        <f t="shared" si="30"/>
        <v>0</v>
      </c>
    </row>
    <row r="465" spans="1:24" outlineLevel="1" x14ac:dyDescent="0.25">
      <c r="A465" s="797"/>
      <c r="B465" s="48" t="s">
        <v>90</v>
      </c>
      <c r="C465" s="72" t="s">
        <v>837</v>
      </c>
      <c r="D465" s="53"/>
      <c r="E465" s="53"/>
      <c r="F465" s="53"/>
      <c r="G465" s="53"/>
      <c r="H465" s="53"/>
      <c r="I465" s="53"/>
      <c r="J465" s="53"/>
      <c r="K465" s="53"/>
      <c r="L465" s="282"/>
      <c r="M465" s="71"/>
      <c r="N465" s="70"/>
      <c r="O465" s="70"/>
      <c r="P465" s="70"/>
      <c r="Q465" s="70"/>
      <c r="R465" s="70"/>
      <c r="S465" s="52"/>
      <c r="T465" s="52"/>
      <c r="U465" s="52"/>
      <c r="V465" s="52"/>
      <c r="W465" s="254"/>
      <c r="X465" s="234">
        <f t="shared" si="30"/>
        <v>0</v>
      </c>
    </row>
    <row r="466" spans="1:24" ht="15.75" outlineLevel="1" thickBot="1" x14ac:dyDescent="0.3">
      <c r="A466" s="797"/>
      <c r="B466" s="48" t="s">
        <v>838</v>
      </c>
      <c r="C466" s="67" t="s">
        <v>839</v>
      </c>
      <c r="D466" s="60"/>
      <c r="E466" s="60"/>
      <c r="F466" s="60"/>
      <c r="G466" s="60"/>
      <c r="H466" s="60"/>
      <c r="I466" s="60"/>
      <c r="J466" s="60"/>
      <c r="K466" s="60"/>
      <c r="L466" s="109"/>
      <c r="M466" s="66"/>
      <c r="N466" s="66"/>
      <c r="O466" s="66"/>
      <c r="P466" s="66"/>
      <c r="Q466" s="66"/>
      <c r="R466" s="66"/>
      <c r="S466" s="59"/>
      <c r="T466" s="59"/>
      <c r="U466" s="59"/>
      <c r="V466" s="59"/>
      <c r="W466" s="255"/>
      <c r="X466" s="234">
        <f t="shared" si="30"/>
        <v>0</v>
      </c>
    </row>
    <row r="467" spans="1:24" outlineLevel="1" x14ac:dyDescent="0.25">
      <c r="A467" s="796" t="s">
        <v>840</v>
      </c>
      <c r="B467" s="35" t="s">
        <v>841</v>
      </c>
      <c r="C467" s="34" t="s">
        <v>842</v>
      </c>
      <c r="D467" s="33"/>
      <c r="E467" s="33"/>
      <c r="F467" s="33"/>
      <c r="G467" s="33"/>
      <c r="H467" s="33"/>
      <c r="I467" s="33"/>
      <c r="J467" s="33"/>
      <c r="K467" s="33"/>
      <c r="L467" s="263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264"/>
      <c r="X467" s="236">
        <f t="shared" si="30"/>
        <v>0</v>
      </c>
    </row>
    <row r="468" spans="1:24" outlineLevel="1" x14ac:dyDescent="0.25">
      <c r="A468" s="797"/>
      <c r="B468" s="48" t="s">
        <v>843</v>
      </c>
      <c r="C468" s="67" t="s">
        <v>844</v>
      </c>
      <c r="D468" s="60"/>
      <c r="E468" s="60"/>
      <c r="F468" s="60"/>
      <c r="G468" s="60"/>
      <c r="H468" s="60"/>
      <c r="I468" s="60"/>
      <c r="J468" s="60"/>
      <c r="K468" s="60"/>
      <c r="L468" s="111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265"/>
      <c r="X468" s="234">
        <f t="shared" si="30"/>
        <v>0</v>
      </c>
    </row>
    <row r="469" spans="1:24" outlineLevel="1" x14ac:dyDescent="0.25">
      <c r="A469" s="797"/>
      <c r="B469" s="48" t="s">
        <v>845</v>
      </c>
      <c r="C469" s="67" t="s">
        <v>846</v>
      </c>
      <c r="D469" s="60"/>
      <c r="E469" s="60"/>
      <c r="F469" s="60"/>
      <c r="G469" s="60"/>
      <c r="H469" s="60"/>
      <c r="I469" s="60"/>
      <c r="J469" s="60"/>
      <c r="K469" s="60"/>
      <c r="L469" s="111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265"/>
      <c r="X469" s="234">
        <f t="shared" si="30"/>
        <v>0</v>
      </c>
    </row>
    <row r="470" spans="1:24" outlineLevel="1" x14ac:dyDescent="0.25">
      <c r="A470" s="797"/>
      <c r="B470" s="48" t="s">
        <v>847</v>
      </c>
      <c r="C470" s="67" t="s">
        <v>848</v>
      </c>
      <c r="D470" s="60"/>
      <c r="E470" s="60"/>
      <c r="F470" s="60"/>
      <c r="G470" s="60"/>
      <c r="H470" s="60"/>
      <c r="I470" s="60"/>
      <c r="J470" s="60"/>
      <c r="K470" s="60"/>
      <c r="L470" s="111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265"/>
      <c r="X470" s="234">
        <f t="shared" si="30"/>
        <v>0</v>
      </c>
    </row>
    <row r="471" spans="1:24" ht="15.75" outlineLevel="1" thickBot="1" x14ac:dyDescent="0.3">
      <c r="A471" s="798"/>
      <c r="B471" s="31" t="s">
        <v>849</v>
      </c>
      <c r="C471" s="30" t="s">
        <v>850</v>
      </c>
      <c r="D471" s="46"/>
      <c r="E471" s="37"/>
      <c r="F471" s="46"/>
      <c r="G471" s="37"/>
      <c r="H471" s="46"/>
      <c r="I471" s="37"/>
      <c r="J471" s="46"/>
      <c r="K471" s="46"/>
      <c r="L471" s="271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272"/>
      <c r="X471" s="235">
        <f t="shared" si="30"/>
        <v>0</v>
      </c>
    </row>
    <row r="472" spans="1:24" ht="15.75" thickBot="1" x14ac:dyDescent="0.3">
      <c r="A472" s="760" t="s">
        <v>851</v>
      </c>
      <c r="B472" s="761"/>
      <c r="C472" s="761"/>
      <c r="D472" s="22">
        <v>0</v>
      </c>
      <c r="E472" s="227">
        <v>0</v>
      </c>
      <c r="F472" s="22">
        <v>0</v>
      </c>
      <c r="G472" s="227">
        <v>0</v>
      </c>
      <c r="H472" s="22">
        <v>1</v>
      </c>
      <c r="I472" s="227">
        <v>1</v>
      </c>
      <c r="J472" s="22">
        <v>0</v>
      </c>
      <c r="K472" s="22">
        <v>3</v>
      </c>
      <c r="L472" s="22">
        <f t="shared" ref="L472:X472" si="31">SUM(L422:L471)</f>
        <v>0</v>
      </c>
      <c r="M472" s="63">
        <f t="shared" si="31"/>
        <v>0</v>
      </c>
      <c r="N472" s="63">
        <f t="shared" si="31"/>
        <v>0</v>
      </c>
      <c r="O472" s="63">
        <f t="shared" si="31"/>
        <v>0</v>
      </c>
      <c r="P472" s="63">
        <f t="shared" si="31"/>
        <v>0</v>
      </c>
      <c r="Q472" s="63">
        <f t="shared" si="31"/>
        <v>0</v>
      </c>
      <c r="R472" s="63">
        <f t="shared" si="31"/>
        <v>0</v>
      </c>
      <c r="S472" s="63">
        <f t="shared" si="31"/>
        <v>0</v>
      </c>
      <c r="T472" s="63">
        <f t="shared" si="31"/>
        <v>0</v>
      </c>
      <c r="U472" s="63">
        <f t="shared" si="31"/>
        <v>0</v>
      </c>
      <c r="V472" s="63">
        <f t="shared" si="31"/>
        <v>0</v>
      </c>
      <c r="W472" s="63">
        <f t="shared" si="31"/>
        <v>0</v>
      </c>
      <c r="X472" s="63">
        <f t="shared" si="31"/>
        <v>0</v>
      </c>
    </row>
    <row r="473" spans="1:24" outlineLevel="1" x14ac:dyDescent="0.25">
      <c r="A473" s="796" t="s">
        <v>852</v>
      </c>
      <c r="B473" s="779" t="s">
        <v>853</v>
      </c>
      <c r="C473" s="62" t="s">
        <v>854</v>
      </c>
      <c r="D473" s="223"/>
      <c r="E473" s="50"/>
      <c r="F473" s="223"/>
      <c r="G473" s="50"/>
      <c r="H473" s="223"/>
      <c r="I473" s="50"/>
      <c r="J473" s="223"/>
      <c r="K473" s="223"/>
      <c r="L473" s="308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309"/>
      <c r="X473" s="240">
        <f t="shared" ref="X473:X489" si="32">SUM(L473:W473)</f>
        <v>0</v>
      </c>
    </row>
    <row r="474" spans="1:24" outlineLevel="1" x14ac:dyDescent="0.25">
      <c r="A474" s="797"/>
      <c r="B474" s="780"/>
      <c r="C474" s="54" t="s">
        <v>855</v>
      </c>
      <c r="D474" s="46"/>
      <c r="E474" s="46"/>
      <c r="F474" s="46"/>
      <c r="G474" s="46"/>
      <c r="H474" s="46"/>
      <c r="I474" s="46"/>
      <c r="J474" s="46"/>
      <c r="K474" s="46"/>
      <c r="L474" s="28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286"/>
      <c r="X474" s="237">
        <f t="shared" si="32"/>
        <v>0</v>
      </c>
    </row>
    <row r="475" spans="1:24" outlineLevel="1" x14ac:dyDescent="0.25">
      <c r="A475" s="797"/>
      <c r="B475" s="780"/>
      <c r="C475" s="54" t="s">
        <v>856</v>
      </c>
      <c r="D475" s="46"/>
      <c r="E475" s="46"/>
      <c r="F475" s="46"/>
      <c r="G475" s="46"/>
      <c r="H475" s="46"/>
      <c r="I475" s="46"/>
      <c r="J475" s="46"/>
      <c r="K475" s="46"/>
      <c r="L475" s="28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286"/>
      <c r="X475" s="234">
        <f t="shared" si="32"/>
        <v>0</v>
      </c>
    </row>
    <row r="476" spans="1:24" ht="15.75" outlineLevel="1" thickBot="1" x14ac:dyDescent="0.3">
      <c r="A476" s="797"/>
      <c r="B476" s="781"/>
      <c r="C476" s="57" t="s">
        <v>857</v>
      </c>
      <c r="D476" s="37"/>
      <c r="E476" s="37"/>
      <c r="F476" s="37"/>
      <c r="G476" s="37"/>
      <c r="H476" s="37"/>
      <c r="I476" s="37"/>
      <c r="J476" s="37"/>
      <c r="K476" s="37"/>
      <c r="L476" s="25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257"/>
      <c r="X476" s="235">
        <f t="shared" si="32"/>
        <v>0</v>
      </c>
    </row>
    <row r="477" spans="1:24" outlineLevel="1" x14ac:dyDescent="0.25">
      <c r="A477" s="797"/>
      <c r="B477" s="779" t="s">
        <v>769</v>
      </c>
      <c r="C477" s="62" t="s">
        <v>858</v>
      </c>
      <c r="D477" s="50"/>
      <c r="E477" s="50"/>
      <c r="F477" s="50"/>
      <c r="G477" s="50"/>
      <c r="H477" s="50"/>
      <c r="I477" s="50"/>
      <c r="J477" s="50"/>
      <c r="K477" s="50"/>
      <c r="L477" s="308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309"/>
      <c r="X477" s="236">
        <f t="shared" si="32"/>
        <v>0</v>
      </c>
    </row>
    <row r="478" spans="1:24" outlineLevel="1" x14ac:dyDescent="0.25">
      <c r="A478" s="797"/>
      <c r="B478" s="780"/>
      <c r="C478" s="54" t="s">
        <v>859</v>
      </c>
      <c r="D478" s="46"/>
      <c r="E478" s="46"/>
      <c r="F478" s="46"/>
      <c r="G478" s="46"/>
      <c r="H478" s="46"/>
      <c r="I478" s="46"/>
      <c r="J478" s="46"/>
      <c r="K478" s="46"/>
      <c r="L478" s="28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286"/>
      <c r="X478" s="234">
        <f t="shared" si="32"/>
        <v>0</v>
      </c>
    </row>
    <row r="479" spans="1:24" ht="15.75" outlineLevel="1" thickBot="1" x14ac:dyDescent="0.3">
      <c r="A479" s="797"/>
      <c r="B479" s="781"/>
      <c r="C479" s="57" t="s">
        <v>860</v>
      </c>
      <c r="D479" s="37"/>
      <c r="E479" s="37"/>
      <c r="F479" s="37"/>
      <c r="G479" s="37"/>
      <c r="H479" s="37"/>
      <c r="I479" s="37"/>
      <c r="J479" s="37"/>
      <c r="K479" s="37"/>
      <c r="L479" s="25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257"/>
      <c r="X479" s="235">
        <f t="shared" si="32"/>
        <v>0</v>
      </c>
    </row>
    <row r="480" spans="1:24" outlineLevel="1" x14ac:dyDescent="0.25">
      <c r="A480" s="797"/>
      <c r="B480" s="779" t="s">
        <v>861</v>
      </c>
      <c r="C480" s="62" t="s">
        <v>862</v>
      </c>
      <c r="D480" s="50"/>
      <c r="E480" s="50"/>
      <c r="F480" s="50"/>
      <c r="G480" s="50"/>
      <c r="H480" s="50"/>
      <c r="I480" s="50"/>
      <c r="J480" s="50"/>
      <c r="K480" s="50"/>
      <c r="L480" s="308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309"/>
      <c r="X480" s="236">
        <f t="shared" si="32"/>
        <v>0</v>
      </c>
    </row>
    <row r="481" spans="1:24" outlineLevel="1" x14ac:dyDescent="0.25">
      <c r="A481" s="797"/>
      <c r="B481" s="780"/>
      <c r="C481" s="54" t="s">
        <v>863</v>
      </c>
      <c r="D481" s="46"/>
      <c r="E481" s="46"/>
      <c r="F481" s="46"/>
      <c r="G481" s="46"/>
      <c r="H481" s="46"/>
      <c r="I481" s="46"/>
      <c r="J481" s="46"/>
      <c r="K481" s="46"/>
      <c r="L481" s="28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286"/>
      <c r="X481" s="234">
        <f t="shared" si="32"/>
        <v>0</v>
      </c>
    </row>
    <row r="482" spans="1:24" outlineLevel="1" x14ac:dyDescent="0.25">
      <c r="A482" s="797"/>
      <c r="B482" s="780"/>
      <c r="C482" s="54" t="s">
        <v>864</v>
      </c>
      <c r="D482" s="46"/>
      <c r="E482" s="46"/>
      <c r="F482" s="46"/>
      <c r="G482" s="46"/>
      <c r="H482" s="46"/>
      <c r="I482" s="46"/>
      <c r="J482" s="46"/>
      <c r="K482" s="46"/>
      <c r="L482" s="28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286"/>
      <c r="X482" s="234">
        <f t="shared" si="32"/>
        <v>0</v>
      </c>
    </row>
    <row r="483" spans="1:24" outlineLevel="1" x14ac:dyDescent="0.25">
      <c r="A483" s="797"/>
      <c r="B483" s="780"/>
      <c r="C483" s="54" t="s">
        <v>865</v>
      </c>
      <c r="D483" s="46"/>
      <c r="E483" s="46"/>
      <c r="F483" s="46"/>
      <c r="G483" s="46"/>
      <c r="H483" s="46"/>
      <c r="I483" s="46"/>
      <c r="J483" s="46"/>
      <c r="K483" s="46"/>
      <c r="L483" s="28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286"/>
      <c r="X483" s="234">
        <f t="shared" si="32"/>
        <v>0</v>
      </c>
    </row>
    <row r="484" spans="1:24" outlineLevel="1" x14ac:dyDescent="0.25">
      <c r="A484" s="797"/>
      <c r="B484" s="780"/>
      <c r="C484" s="54" t="s">
        <v>866</v>
      </c>
      <c r="D484" s="46"/>
      <c r="E484" s="46"/>
      <c r="F484" s="46"/>
      <c r="G484" s="46"/>
      <c r="H484" s="46"/>
      <c r="I484" s="46"/>
      <c r="J484" s="46"/>
      <c r="K484" s="46"/>
      <c r="L484" s="28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286"/>
      <c r="X484" s="234">
        <f t="shared" si="32"/>
        <v>0</v>
      </c>
    </row>
    <row r="485" spans="1:24" outlineLevel="1" x14ac:dyDescent="0.25">
      <c r="A485" s="797"/>
      <c r="B485" s="780"/>
      <c r="C485" s="54" t="s">
        <v>867</v>
      </c>
      <c r="D485" s="46"/>
      <c r="E485" s="46"/>
      <c r="F485" s="46"/>
      <c r="G485" s="46"/>
      <c r="H485" s="46"/>
      <c r="I485" s="46"/>
      <c r="J485" s="46"/>
      <c r="K485" s="46"/>
      <c r="L485" s="28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286"/>
      <c r="X485" s="234">
        <f t="shared" si="32"/>
        <v>0</v>
      </c>
    </row>
    <row r="486" spans="1:24" outlineLevel="1" x14ac:dyDescent="0.25">
      <c r="A486" s="797"/>
      <c r="B486" s="780"/>
      <c r="C486" s="54" t="s">
        <v>868</v>
      </c>
      <c r="D486" s="46"/>
      <c r="E486" s="46"/>
      <c r="F486" s="46"/>
      <c r="G486" s="46"/>
      <c r="H486" s="46"/>
      <c r="I486" s="46"/>
      <c r="J486" s="46"/>
      <c r="K486" s="46"/>
      <c r="L486" s="28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286"/>
      <c r="X486" s="234">
        <f t="shared" si="32"/>
        <v>0</v>
      </c>
    </row>
    <row r="487" spans="1:24" outlineLevel="1" x14ac:dyDescent="0.25">
      <c r="A487" s="797"/>
      <c r="B487" s="780"/>
      <c r="C487" s="61" t="s">
        <v>869</v>
      </c>
      <c r="D487" s="60"/>
      <c r="E487" s="60"/>
      <c r="F487" s="60"/>
      <c r="G487" s="60"/>
      <c r="H487" s="60"/>
      <c r="I487" s="60"/>
      <c r="J487" s="60"/>
      <c r="K487" s="60"/>
      <c r="L487" s="10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255"/>
      <c r="X487" s="234">
        <f t="shared" si="32"/>
        <v>0</v>
      </c>
    </row>
    <row r="488" spans="1:24" ht="15.75" outlineLevel="1" thickBot="1" x14ac:dyDescent="0.3">
      <c r="A488" s="798"/>
      <c r="B488" s="781"/>
      <c r="C488" s="57" t="s">
        <v>870</v>
      </c>
      <c r="D488" s="29"/>
      <c r="E488" s="29"/>
      <c r="F488" s="29"/>
      <c r="G488" s="29"/>
      <c r="H488" s="29"/>
      <c r="I488" s="29"/>
      <c r="J488" s="29"/>
      <c r="K488" s="29"/>
      <c r="L488" s="310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311"/>
      <c r="X488" s="246">
        <f t="shared" si="32"/>
        <v>0</v>
      </c>
    </row>
    <row r="489" spans="1:24" ht="15.75" outlineLevel="1" thickBot="1" x14ac:dyDescent="0.3">
      <c r="A489" s="56" t="s">
        <v>871</v>
      </c>
      <c r="B489" s="55"/>
      <c r="C489" s="54" t="s">
        <v>872</v>
      </c>
      <c r="D489" s="53"/>
      <c r="E489" s="53"/>
      <c r="F489" s="53"/>
      <c r="G489" s="53"/>
      <c r="H489" s="53"/>
      <c r="I489" s="53"/>
      <c r="J489" s="53"/>
      <c r="K489" s="53"/>
      <c r="L489" s="28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254"/>
      <c r="X489" s="238">
        <f t="shared" si="32"/>
        <v>0</v>
      </c>
    </row>
    <row r="490" spans="1:24" ht="15.75" thickBot="1" x14ac:dyDescent="0.3">
      <c r="A490" s="760" t="s">
        <v>873</v>
      </c>
      <c r="B490" s="761"/>
      <c r="C490" s="761"/>
      <c r="D490" s="22">
        <v>0</v>
      </c>
      <c r="E490" s="22">
        <v>0</v>
      </c>
      <c r="F490" s="22">
        <v>0</v>
      </c>
      <c r="G490" s="22">
        <v>0</v>
      </c>
      <c r="H490" s="22">
        <v>0</v>
      </c>
      <c r="I490" s="22">
        <v>0</v>
      </c>
      <c r="J490" s="22">
        <v>0</v>
      </c>
      <c r="K490" s="22">
        <v>0</v>
      </c>
      <c r="L490" s="22">
        <f t="shared" ref="L490:X490" si="33">SUM(L473:L489)</f>
        <v>0</v>
      </c>
      <c r="M490" s="22">
        <f t="shared" si="33"/>
        <v>0</v>
      </c>
      <c r="N490" s="22">
        <f t="shared" si="33"/>
        <v>0</v>
      </c>
      <c r="O490" s="22">
        <f t="shared" si="33"/>
        <v>0</v>
      </c>
      <c r="P490" s="22">
        <f t="shared" si="33"/>
        <v>0</v>
      </c>
      <c r="Q490" s="22">
        <f t="shared" si="33"/>
        <v>0</v>
      </c>
      <c r="R490" s="22">
        <f t="shared" si="33"/>
        <v>0</v>
      </c>
      <c r="S490" s="22">
        <f t="shared" si="33"/>
        <v>0</v>
      </c>
      <c r="T490" s="22">
        <f t="shared" si="33"/>
        <v>0</v>
      </c>
      <c r="U490" s="22">
        <f t="shared" si="33"/>
        <v>0</v>
      </c>
      <c r="V490" s="22">
        <f t="shared" si="33"/>
        <v>0</v>
      </c>
      <c r="W490" s="22">
        <f t="shared" si="33"/>
        <v>0</v>
      </c>
      <c r="X490" s="63">
        <f t="shared" si="33"/>
        <v>0</v>
      </c>
    </row>
    <row r="491" spans="1:24" outlineLevel="1" x14ac:dyDescent="0.25">
      <c r="A491" s="796" t="s">
        <v>873</v>
      </c>
      <c r="B491" s="51" t="s">
        <v>874</v>
      </c>
      <c r="C491" s="34" t="s">
        <v>875</v>
      </c>
      <c r="D491" s="50"/>
      <c r="E491" s="50"/>
      <c r="F491" s="50"/>
      <c r="G491" s="50"/>
      <c r="H491" s="50"/>
      <c r="I491" s="50"/>
      <c r="J491" s="50"/>
      <c r="K491" s="50"/>
      <c r="L491" s="308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309"/>
      <c r="X491" s="240">
        <f t="shared" ref="X491:X497" si="34">SUM(L491:W491)</f>
        <v>0</v>
      </c>
    </row>
    <row r="492" spans="1:24" outlineLevel="1" x14ac:dyDescent="0.25">
      <c r="A492" s="797"/>
      <c r="B492" s="48" t="s">
        <v>876</v>
      </c>
      <c r="C492" s="47" t="s">
        <v>875</v>
      </c>
      <c r="D492" s="46"/>
      <c r="E492" s="46"/>
      <c r="F492" s="46"/>
      <c r="G492" s="46"/>
      <c r="H492" s="46"/>
      <c r="I492" s="46"/>
      <c r="J492" s="46"/>
      <c r="K492" s="46"/>
      <c r="L492" s="28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286"/>
      <c r="X492" s="237">
        <f t="shared" si="34"/>
        <v>0</v>
      </c>
    </row>
    <row r="493" spans="1:24" ht="15.75" outlineLevel="1" thickBot="1" x14ac:dyDescent="0.3">
      <c r="A493" s="797"/>
      <c r="B493" s="44" t="s">
        <v>877</v>
      </c>
      <c r="C493" s="43" t="s">
        <v>875</v>
      </c>
      <c r="D493" s="37"/>
      <c r="E493" s="37"/>
      <c r="F493" s="37"/>
      <c r="G493" s="37"/>
      <c r="H493" s="37"/>
      <c r="I493" s="37"/>
      <c r="J493" s="37"/>
      <c r="K493" s="37"/>
      <c r="L493" s="25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257"/>
      <c r="X493" s="235">
        <f t="shared" si="34"/>
        <v>0</v>
      </c>
    </row>
    <row r="494" spans="1:24" outlineLevel="1" x14ac:dyDescent="0.25">
      <c r="A494" s="797"/>
      <c r="B494" s="42" t="s">
        <v>878</v>
      </c>
      <c r="C494" s="41" t="s">
        <v>879</v>
      </c>
      <c r="D494" s="38"/>
      <c r="E494" s="38"/>
      <c r="F494" s="38"/>
      <c r="G494" s="38"/>
      <c r="H494" s="38"/>
      <c r="I494" s="38"/>
      <c r="J494" s="38"/>
      <c r="K494" s="38"/>
      <c r="L494" s="312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13"/>
      <c r="X494" s="247">
        <f t="shared" si="34"/>
        <v>0</v>
      </c>
    </row>
    <row r="495" spans="1:24" ht="15.75" outlineLevel="1" thickBot="1" x14ac:dyDescent="0.3">
      <c r="A495" s="797"/>
      <c r="B495" s="31" t="s">
        <v>880</v>
      </c>
      <c r="C495" s="30" t="s">
        <v>881</v>
      </c>
      <c r="D495" s="37"/>
      <c r="E495" s="37"/>
      <c r="F495" s="37"/>
      <c r="G495" s="37"/>
      <c r="H495" s="37"/>
      <c r="I495" s="37"/>
      <c r="J495" s="37"/>
      <c r="K495" s="37"/>
      <c r="L495" s="25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257"/>
      <c r="X495" s="235">
        <f t="shared" si="34"/>
        <v>0</v>
      </c>
    </row>
    <row r="496" spans="1:24" outlineLevel="1" x14ac:dyDescent="0.25">
      <c r="A496" s="797"/>
      <c r="B496" s="35" t="s">
        <v>882</v>
      </c>
      <c r="C496" s="34" t="s">
        <v>883</v>
      </c>
      <c r="D496" s="33"/>
      <c r="E496" s="33"/>
      <c r="F496" s="33"/>
      <c r="G496" s="33"/>
      <c r="H496" s="33"/>
      <c r="I496" s="33"/>
      <c r="J496" s="33"/>
      <c r="K496" s="33"/>
      <c r="L496" s="258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259"/>
      <c r="X496" s="236">
        <f t="shared" si="34"/>
        <v>0</v>
      </c>
    </row>
    <row r="497" spans="1:24" ht="15.75" outlineLevel="1" thickBot="1" x14ac:dyDescent="0.3">
      <c r="A497" s="798"/>
      <c r="B497" s="31" t="s">
        <v>884</v>
      </c>
      <c r="C497" s="30" t="s">
        <v>883</v>
      </c>
      <c r="D497" s="29"/>
      <c r="E497" s="29"/>
      <c r="F497" s="29"/>
      <c r="G497" s="29"/>
      <c r="H497" s="29"/>
      <c r="I497" s="29"/>
      <c r="J497" s="29"/>
      <c r="K497" s="29"/>
      <c r="L497" s="541"/>
      <c r="M497" s="545"/>
      <c r="N497" s="28"/>
      <c r="O497" s="545"/>
      <c r="P497" s="733"/>
      <c r="Q497" s="28"/>
      <c r="R497" s="28"/>
      <c r="S497" s="28"/>
      <c r="T497" s="28"/>
      <c r="U497" s="28"/>
      <c r="V497" s="28"/>
      <c r="W497" s="311"/>
      <c r="X497" s="246">
        <f t="shared" si="34"/>
        <v>0</v>
      </c>
    </row>
    <row r="498" spans="1:24" ht="15.75" thickBot="1" x14ac:dyDescent="0.3">
      <c r="A498" s="760" t="s">
        <v>873</v>
      </c>
      <c r="B498" s="761"/>
      <c r="C498" s="761"/>
      <c r="D498" s="22">
        <v>0</v>
      </c>
      <c r="E498" s="22">
        <v>0</v>
      </c>
      <c r="F498" s="22">
        <v>0</v>
      </c>
      <c r="G498" s="22">
        <v>0</v>
      </c>
      <c r="H498" s="22">
        <v>0</v>
      </c>
      <c r="I498" s="22">
        <v>0</v>
      </c>
      <c r="J498" s="22">
        <v>0</v>
      </c>
      <c r="K498" s="22">
        <v>0</v>
      </c>
      <c r="L498" s="22">
        <f t="shared" ref="L498:X498" si="35">SUM(L491:L497)</f>
        <v>0</v>
      </c>
      <c r="M498" s="22">
        <f t="shared" si="35"/>
        <v>0</v>
      </c>
      <c r="N498" s="22">
        <f t="shared" si="35"/>
        <v>0</v>
      </c>
      <c r="O498" s="22">
        <f t="shared" si="35"/>
        <v>0</v>
      </c>
      <c r="P498" s="22">
        <f t="shared" si="35"/>
        <v>0</v>
      </c>
      <c r="Q498" s="22">
        <f t="shared" si="35"/>
        <v>0</v>
      </c>
      <c r="R498" s="22">
        <f t="shared" si="35"/>
        <v>0</v>
      </c>
      <c r="S498" s="22">
        <f t="shared" si="35"/>
        <v>0</v>
      </c>
      <c r="T498" s="22">
        <f t="shared" si="35"/>
        <v>0</v>
      </c>
      <c r="U498" s="22">
        <f t="shared" si="35"/>
        <v>0</v>
      </c>
      <c r="V498" s="22">
        <f t="shared" si="35"/>
        <v>0</v>
      </c>
      <c r="W498" s="22">
        <f t="shared" si="35"/>
        <v>0</v>
      </c>
      <c r="X498" s="63">
        <f t="shared" si="35"/>
        <v>0</v>
      </c>
    </row>
    <row r="499" spans="1:24" ht="15.75" outlineLevel="1" thickBot="1" x14ac:dyDescent="0.3">
      <c r="A499" s="27" t="s">
        <v>885</v>
      </c>
      <c r="B499" s="26" t="s">
        <v>886</v>
      </c>
      <c r="C499" s="25" t="s">
        <v>833</v>
      </c>
      <c r="D499" s="24"/>
      <c r="E499" s="24"/>
      <c r="F499" s="24"/>
      <c r="G499" s="24"/>
      <c r="H499" s="24"/>
      <c r="I499" s="24"/>
      <c r="J499" s="24"/>
      <c r="K499" s="24"/>
      <c r="L499" s="29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94"/>
      <c r="X499" s="239">
        <f>SUM(L499:W499)</f>
        <v>0</v>
      </c>
    </row>
    <row r="500" spans="1:24" ht="15.75" thickBot="1" x14ac:dyDescent="0.3">
      <c r="A500" s="760" t="s">
        <v>873</v>
      </c>
      <c r="B500" s="761"/>
      <c r="C500" s="761"/>
      <c r="D500" s="138">
        <v>0</v>
      </c>
      <c r="E500" s="22">
        <v>0</v>
      </c>
      <c r="F500" s="138">
        <v>0</v>
      </c>
      <c r="G500" s="22">
        <v>0</v>
      </c>
      <c r="H500" s="138">
        <v>0</v>
      </c>
      <c r="I500" s="22">
        <v>0</v>
      </c>
      <c r="J500" s="138">
        <v>0</v>
      </c>
      <c r="K500" s="138">
        <v>0</v>
      </c>
      <c r="L500" s="22">
        <f t="shared" ref="L500:X500" si="36">SUM(L499)</f>
        <v>0</v>
      </c>
      <c r="M500" s="22">
        <f t="shared" si="36"/>
        <v>0</v>
      </c>
      <c r="N500" s="22">
        <f t="shared" si="36"/>
        <v>0</v>
      </c>
      <c r="O500" s="22">
        <f t="shared" si="36"/>
        <v>0</v>
      </c>
      <c r="P500" s="22">
        <f t="shared" si="36"/>
        <v>0</v>
      </c>
      <c r="Q500" s="22">
        <f t="shared" si="36"/>
        <v>0</v>
      </c>
      <c r="R500" s="22">
        <f t="shared" si="36"/>
        <v>0</v>
      </c>
      <c r="S500" s="22">
        <f t="shared" si="36"/>
        <v>0</v>
      </c>
      <c r="T500" s="22">
        <f t="shared" si="36"/>
        <v>0</v>
      </c>
      <c r="U500" s="22">
        <f t="shared" si="36"/>
        <v>0</v>
      </c>
      <c r="V500" s="22">
        <f t="shared" si="36"/>
        <v>0</v>
      </c>
      <c r="W500" s="22">
        <f t="shared" si="36"/>
        <v>0</v>
      </c>
      <c r="X500" s="63">
        <f t="shared" si="36"/>
        <v>0</v>
      </c>
    </row>
    <row r="501" spans="1:24" ht="15.75" thickBot="1" x14ac:dyDescent="0.3">
      <c r="A501" s="799" t="s">
        <v>887</v>
      </c>
      <c r="B501" s="800"/>
      <c r="C501" s="800"/>
      <c r="D501" s="21">
        <v>0</v>
      </c>
      <c r="E501" s="228">
        <v>0</v>
      </c>
      <c r="F501" s="21">
        <v>0</v>
      </c>
      <c r="G501" s="228">
        <v>0</v>
      </c>
      <c r="H501" s="21">
        <v>1</v>
      </c>
      <c r="I501" s="228">
        <v>1</v>
      </c>
      <c r="J501" s="21">
        <v>0</v>
      </c>
      <c r="K501" s="21">
        <v>3</v>
      </c>
      <c r="L501" s="21">
        <f>+L472+L490+L498+L500</f>
        <v>0</v>
      </c>
      <c r="M501" s="21">
        <f t="shared" ref="M501:X501" si="37">+M472+M490+M498+M500</f>
        <v>0</v>
      </c>
      <c r="N501" s="21">
        <f t="shared" si="37"/>
        <v>0</v>
      </c>
      <c r="O501" s="21">
        <f t="shared" si="37"/>
        <v>0</v>
      </c>
      <c r="P501" s="21">
        <f t="shared" si="37"/>
        <v>0</v>
      </c>
      <c r="Q501" s="21">
        <f t="shared" si="37"/>
        <v>0</v>
      </c>
      <c r="R501" s="21">
        <f t="shared" si="37"/>
        <v>0</v>
      </c>
      <c r="S501" s="21">
        <f t="shared" si="37"/>
        <v>0</v>
      </c>
      <c r="T501" s="21">
        <f t="shared" si="37"/>
        <v>0</v>
      </c>
      <c r="U501" s="21">
        <f t="shared" si="37"/>
        <v>0</v>
      </c>
      <c r="V501" s="21">
        <f t="shared" si="37"/>
        <v>0</v>
      </c>
      <c r="W501" s="21">
        <f t="shared" si="37"/>
        <v>0</v>
      </c>
      <c r="X501" s="225">
        <f t="shared" si="37"/>
        <v>0</v>
      </c>
    </row>
  </sheetData>
  <autoFilter ref="A5:X501">
    <filterColumn colId="0" showButton="0"/>
    <filterColumn colId="1" showButton="0"/>
  </autoFilter>
  <mergeCells count="65">
    <mergeCell ref="X3:X4"/>
    <mergeCell ref="L1:W1"/>
    <mergeCell ref="A431:A442"/>
    <mergeCell ref="A443:A446"/>
    <mergeCell ref="A447:A450"/>
    <mergeCell ref="A413:C413"/>
    <mergeCell ref="A420:C420"/>
    <mergeCell ref="A421:C421"/>
    <mergeCell ref="A422:A430"/>
    <mergeCell ref="A229:C229"/>
    <mergeCell ref="A414:A419"/>
    <mergeCell ref="B414:B416"/>
    <mergeCell ref="B320:B326"/>
    <mergeCell ref="A498:C498"/>
    <mergeCell ref="A500:C500"/>
    <mergeCell ref="A472:C472"/>
    <mergeCell ref="A501:C501"/>
    <mergeCell ref="A473:A488"/>
    <mergeCell ref="B473:B476"/>
    <mergeCell ref="B477:B479"/>
    <mergeCell ref="B480:B488"/>
    <mergeCell ref="A490:C490"/>
    <mergeCell ref="A491:A497"/>
    <mergeCell ref="A340:A384"/>
    <mergeCell ref="B340:B354"/>
    <mergeCell ref="B355:B384"/>
    <mergeCell ref="A464:A466"/>
    <mergeCell ref="A467:A471"/>
    <mergeCell ref="A458:A463"/>
    <mergeCell ref="A451:A453"/>
    <mergeCell ref="A454:A457"/>
    <mergeCell ref="A385:C385"/>
    <mergeCell ref="A386:A412"/>
    <mergeCell ref="B386:B407"/>
    <mergeCell ref="B409:B412"/>
    <mergeCell ref="A235:C235"/>
    <mergeCell ref="A247:C247"/>
    <mergeCell ref="A248:C248"/>
    <mergeCell ref="A249:A338"/>
    <mergeCell ref="B249:B259"/>
    <mergeCell ref="B260:B282"/>
    <mergeCell ref="B283:B296"/>
    <mergeCell ref="B297:B303"/>
    <mergeCell ref="B304:B313"/>
    <mergeCell ref="B314:B319"/>
    <mergeCell ref="B327:B338"/>
    <mergeCell ref="A339:C339"/>
    <mergeCell ref="A227:C227"/>
    <mergeCell ref="A187:C187"/>
    <mergeCell ref="A198:C198"/>
    <mergeCell ref="A223:C223"/>
    <mergeCell ref="A3:C4"/>
    <mergeCell ref="A147:C147"/>
    <mergeCell ref="D3:D4"/>
    <mergeCell ref="E3:E4"/>
    <mergeCell ref="F3:F4"/>
    <mergeCell ref="H3:H4"/>
    <mergeCell ref="A5:C5"/>
    <mergeCell ref="A70:C70"/>
    <mergeCell ref="G3:G4"/>
    <mergeCell ref="A1:C1"/>
    <mergeCell ref="A80:C80"/>
    <mergeCell ref="I3:I4"/>
    <mergeCell ref="J3:J4"/>
    <mergeCell ref="K3:K4"/>
  </mergeCells>
  <phoneticPr fontId="11" type="noConversion"/>
  <printOptions horizontalCentered="1"/>
  <pageMargins left="0" right="0" top="0" bottom="0" header="0" footer="0"/>
  <pageSetup paperSize="9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I12"/>
  <sheetViews>
    <sheetView zoomScale="85" zoomScaleNormal="85" workbookViewId="0">
      <selection activeCell="D21" sqref="D21"/>
    </sheetView>
  </sheetViews>
  <sheetFormatPr baseColWidth="10" defaultColWidth="11.42578125" defaultRowHeight="15" x14ac:dyDescent="0.25"/>
  <cols>
    <col min="1" max="1" width="6.85546875" style="16" bestFit="1" customWidth="1"/>
    <col min="2" max="2" width="80" style="16" bestFit="1" customWidth="1"/>
    <col min="3" max="3" width="18.28515625" style="166" bestFit="1" customWidth="1"/>
    <col min="4" max="4" width="16.28515625" style="16" bestFit="1" customWidth="1"/>
    <col min="5" max="5" width="18.28515625" style="16" bestFit="1" customWidth="1"/>
    <col min="6" max="6" width="14" style="16" bestFit="1" customWidth="1"/>
    <col min="7" max="7" width="12" style="16" bestFit="1" customWidth="1"/>
    <col min="8" max="8" width="13.140625" style="16" bestFit="1" customWidth="1"/>
    <col min="9" max="9" width="36.140625" style="16" bestFit="1" customWidth="1"/>
    <col min="10" max="16384" width="11.42578125" style="16"/>
  </cols>
  <sheetData>
    <row r="1" spans="1:9" s="557" customFormat="1" x14ac:dyDescent="0.25">
      <c r="A1" s="809" t="s">
        <v>18</v>
      </c>
      <c r="B1" s="809" t="s">
        <v>1121</v>
      </c>
      <c r="C1" s="809" t="s">
        <v>1120</v>
      </c>
      <c r="D1" s="809" t="s">
        <v>1119</v>
      </c>
      <c r="E1" s="809" t="s">
        <v>1118</v>
      </c>
      <c r="F1" s="809" t="s">
        <v>1117</v>
      </c>
      <c r="G1" s="809"/>
      <c r="H1" s="809"/>
      <c r="I1" s="809" t="s">
        <v>111</v>
      </c>
    </row>
    <row r="2" spans="1:9" s="199" customFormat="1" x14ac:dyDescent="0.25">
      <c r="A2" s="809"/>
      <c r="B2" s="809"/>
      <c r="C2" s="809"/>
      <c r="D2" s="809"/>
      <c r="E2" s="809"/>
      <c r="F2" s="556" t="s">
        <v>69</v>
      </c>
      <c r="G2" s="556" t="s">
        <v>1116</v>
      </c>
      <c r="H2" s="556" t="s">
        <v>1115</v>
      </c>
      <c r="I2" s="809"/>
    </row>
    <row r="3" spans="1:9" x14ac:dyDescent="0.25">
      <c r="A3" s="555"/>
      <c r="B3" s="550"/>
      <c r="C3" s="552"/>
      <c r="D3" s="552"/>
      <c r="E3" s="554"/>
      <c r="F3" s="551" t="b">
        <v>0</v>
      </c>
      <c r="G3" s="551" t="b">
        <v>0</v>
      </c>
      <c r="H3" s="551" t="b">
        <v>0</v>
      </c>
      <c r="I3" s="550"/>
    </row>
    <row r="4" spans="1:9" x14ac:dyDescent="0.25">
      <c r="A4" s="555"/>
      <c r="B4" s="550"/>
      <c r="C4" s="552"/>
      <c r="D4" s="552"/>
      <c r="E4" s="554"/>
      <c r="F4" s="551" t="b">
        <v>0</v>
      </c>
      <c r="G4" s="551" t="b">
        <v>0</v>
      </c>
      <c r="H4" s="551" t="b">
        <v>0</v>
      </c>
      <c r="I4" s="550"/>
    </row>
    <row r="5" spans="1:9" x14ac:dyDescent="0.25">
      <c r="A5" s="555"/>
      <c r="B5" s="550"/>
      <c r="C5" s="552"/>
      <c r="D5" s="552"/>
      <c r="E5" s="554"/>
      <c r="F5" s="551" t="b">
        <v>0</v>
      </c>
      <c r="G5" s="551" t="b">
        <v>0</v>
      </c>
      <c r="H5" s="551" t="b">
        <v>0</v>
      </c>
      <c r="I5" s="550"/>
    </row>
    <row r="6" spans="1:9" x14ac:dyDescent="0.25">
      <c r="A6" s="555"/>
      <c r="B6" s="550"/>
      <c r="C6" s="552"/>
      <c r="D6" s="553"/>
      <c r="E6" s="554"/>
      <c r="F6" s="551" t="b">
        <v>0</v>
      </c>
      <c r="G6" s="551" t="b">
        <v>0</v>
      </c>
      <c r="H6" s="551" t="b">
        <v>0</v>
      </c>
      <c r="I6" s="550"/>
    </row>
    <row r="7" spans="1:9" x14ac:dyDescent="0.25">
      <c r="A7" s="555"/>
      <c r="B7" s="550"/>
      <c r="C7" s="552"/>
      <c r="D7" s="553"/>
      <c r="E7" s="554"/>
      <c r="F7" s="551" t="b">
        <v>0</v>
      </c>
      <c r="G7" s="551" t="b">
        <v>0</v>
      </c>
      <c r="H7" s="551" t="b">
        <v>0</v>
      </c>
      <c r="I7" s="550"/>
    </row>
    <row r="8" spans="1:9" x14ac:dyDescent="0.25">
      <c r="A8" s="555"/>
      <c r="B8" s="550"/>
      <c r="C8" s="552"/>
      <c r="D8" s="553"/>
      <c r="E8" s="554"/>
      <c r="F8" s="551" t="b">
        <v>0</v>
      </c>
      <c r="G8" s="551" t="b">
        <v>0</v>
      </c>
      <c r="H8" s="551" t="b">
        <v>0</v>
      </c>
      <c r="I8" s="550"/>
    </row>
    <row r="9" spans="1:9" x14ac:dyDescent="0.25">
      <c r="A9" s="555"/>
      <c r="B9" s="550"/>
      <c r="C9" s="552"/>
      <c r="D9" s="553"/>
      <c r="E9" s="554"/>
      <c r="F9" s="551" t="b">
        <v>0</v>
      </c>
      <c r="G9" s="551" t="b">
        <v>0</v>
      </c>
      <c r="H9" s="551" t="b">
        <v>0</v>
      </c>
      <c r="I9" s="550"/>
    </row>
    <row r="10" spans="1:9" x14ac:dyDescent="0.25">
      <c r="A10" s="555"/>
      <c r="B10" s="550"/>
      <c r="C10" s="552"/>
      <c r="D10" s="553"/>
      <c r="E10" s="554"/>
      <c r="F10" s="551" t="b">
        <v>0</v>
      </c>
      <c r="G10" s="551" t="b">
        <v>0</v>
      </c>
      <c r="H10" s="551" t="b">
        <v>0</v>
      </c>
      <c r="I10" s="550"/>
    </row>
    <row r="11" spans="1:9" x14ac:dyDescent="0.25">
      <c r="A11" s="555"/>
      <c r="B11" s="550"/>
      <c r="C11" s="552"/>
      <c r="D11" s="553"/>
      <c r="E11" s="554"/>
      <c r="F11" s="551" t="b">
        <v>0</v>
      </c>
      <c r="G11" s="551" t="b">
        <v>0</v>
      </c>
      <c r="H11" s="551" t="b">
        <v>0</v>
      </c>
      <c r="I11" s="550"/>
    </row>
    <row r="12" spans="1:9" x14ac:dyDescent="0.25">
      <c r="A12" s="555"/>
      <c r="B12" s="550"/>
      <c r="C12" s="552"/>
      <c r="D12" s="553"/>
      <c r="E12" s="554"/>
      <c r="F12" s="551" t="b">
        <v>0</v>
      </c>
      <c r="G12" s="551" t="b">
        <v>0</v>
      </c>
      <c r="H12" s="551" t="b">
        <v>0</v>
      </c>
      <c r="I12" s="550"/>
    </row>
  </sheetData>
  <autoFilter ref="A2:I12">
    <sortState ref="A7:I12">
      <sortCondition descending="1" ref="H2:H12"/>
    </sortState>
  </autoFilter>
  <mergeCells count="7">
    <mergeCell ref="A1:A2"/>
    <mergeCell ref="I1:I2"/>
    <mergeCell ref="E1:E2"/>
    <mergeCell ref="D1:D2"/>
    <mergeCell ref="C1:C2"/>
    <mergeCell ref="B1:B2"/>
    <mergeCell ref="F1:H1"/>
  </mergeCells>
  <conditionalFormatting sqref="F3:F1048576">
    <cfRule type="cellIs" dxfId="3" priority="3" operator="equal">
      <formula>TRUE</formula>
    </cfRule>
  </conditionalFormatting>
  <conditionalFormatting sqref="G3:G1048576">
    <cfRule type="cellIs" dxfId="2" priority="2" operator="equal">
      <formula>TRUE</formula>
    </cfRule>
  </conditionalFormatting>
  <conditionalFormatting sqref="H3:H1048576">
    <cfRule type="cellIs" dxfId="1" priority="1" operator="equal">
      <formula>TRUE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LISTE!$H$2:$H$6</xm:f>
          </x14:formula1>
          <xm:sqref>C3:C1048576</xm:sqref>
        </x14:dataValidation>
        <x14:dataValidation type="list" allowBlank="1" showInputMessage="1" showErrorMessage="1">
          <x14:formula1>
            <xm:f>LISTE!$E$2:$E$10</xm:f>
          </x14:formula1>
          <xm:sqref>D3:D1048576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2"/>
  <sheetViews>
    <sheetView workbookViewId="0">
      <selection activeCell="A10" sqref="A10"/>
    </sheetView>
  </sheetViews>
  <sheetFormatPr baseColWidth="10" defaultColWidth="11.42578125" defaultRowHeight="15" x14ac:dyDescent="0.25"/>
  <cols>
    <col min="1" max="1" width="17.28515625" bestFit="1" customWidth="1"/>
    <col min="2" max="2" width="22.42578125" bestFit="1" customWidth="1"/>
    <col min="3" max="3" width="21.85546875" bestFit="1" customWidth="1"/>
    <col min="4" max="4" width="19.7109375" bestFit="1" customWidth="1"/>
    <col min="5" max="5" width="16.42578125" bestFit="1" customWidth="1"/>
    <col min="6" max="6" width="3.28515625" bestFit="1" customWidth="1"/>
    <col min="7" max="7" width="11.85546875" bestFit="1" customWidth="1"/>
    <col min="8" max="8" width="14.85546875" bestFit="1" customWidth="1"/>
    <col min="9" max="9" width="29.140625" bestFit="1" customWidth="1"/>
  </cols>
  <sheetData>
    <row r="1" spans="1:9" x14ac:dyDescent="0.25">
      <c r="A1" s="9" t="s">
        <v>20</v>
      </c>
      <c r="B1" s="9" t="s">
        <v>21</v>
      </c>
      <c r="C1" s="9" t="s">
        <v>23</v>
      </c>
      <c r="D1" s="9" t="s">
        <v>24</v>
      </c>
      <c r="E1" s="10" t="s">
        <v>25</v>
      </c>
      <c r="F1" s="10" t="s">
        <v>27</v>
      </c>
      <c r="G1" s="10" t="s">
        <v>1117</v>
      </c>
      <c r="H1" s="10" t="s">
        <v>1120</v>
      </c>
      <c r="I1" s="10" t="s">
        <v>1117</v>
      </c>
    </row>
    <row r="2" spans="1:9" x14ac:dyDescent="0.25">
      <c r="A2" t="s">
        <v>28</v>
      </c>
      <c r="B2" t="s">
        <v>888</v>
      </c>
      <c r="C2" t="s">
        <v>49</v>
      </c>
      <c r="D2" t="s">
        <v>31</v>
      </c>
      <c r="E2" t="s">
        <v>16</v>
      </c>
      <c r="F2">
        <v>1</v>
      </c>
      <c r="G2" t="s">
        <v>889</v>
      </c>
      <c r="H2" s="557" t="s">
        <v>1114</v>
      </c>
      <c r="I2" t="s">
        <v>1176</v>
      </c>
    </row>
    <row r="3" spans="1:9" x14ac:dyDescent="0.25">
      <c r="A3" t="s">
        <v>70</v>
      </c>
      <c r="B3" t="s">
        <v>890</v>
      </c>
      <c r="C3" t="s">
        <v>118</v>
      </c>
      <c r="D3" t="s">
        <v>891</v>
      </c>
      <c r="E3" t="s">
        <v>17</v>
      </c>
      <c r="F3">
        <v>0</v>
      </c>
      <c r="G3" t="s">
        <v>69</v>
      </c>
      <c r="H3" t="s">
        <v>1122</v>
      </c>
      <c r="I3" t="s">
        <v>1174</v>
      </c>
    </row>
    <row r="4" spans="1:9" x14ac:dyDescent="0.25">
      <c r="A4" t="s">
        <v>40</v>
      </c>
      <c r="B4" t="s">
        <v>892</v>
      </c>
      <c r="C4" t="s">
        <v>44</v>
      </c>
      <c r="D4" t="s">
        <v>893</v>
      </c>
      <c r="E4" t="s">
        <v>898</v>
      </c>
      <c r="G4" t="s">
        <v>74</v>
      </c>
      <c r="H4" t="s">
        <v>1123</v>
      </c>
      <c r="I4" t="s">
        <v>1175</v>
      </c>
    </row>
    <row r="5" spans="1:9" x14ac:dyDescent="0.25">
      <c r="A5" t="s">
        <v>38</v>
      </c>
      <c r="B5" t="s">
        <v>894</v>
      </c>
      <c r="C5" t="s">
        <v>41</v>
      </c>
      <c r="D5" t="s">
        <v>895</v>
      </c>
      <c r="E5" t="s">
        <v>1125</v>
      </c>
      <c r="G5" t="s">
        <v>896</v>
      </c>
      <c r="H5" t="s">
        <v>1124</v>
      </c>
    </row>
    <row r="6" spans="1:9" x14ac:dyDescent="0.25">
      <c r="A6" t="s">
        <v>1178</v>
      </c>
      <c r="B6" t="s">
        <v>897</v>
      </c>
      <c r="C6" t="s">
        <v>39</v>
      </c>
      <c r="D6" t="s">
        <v>1179</v>
      </c>
      <c r="E6" t="s">
        <v>1126</v>
      </c>
      <c r="G6" t="s">
        <v>899</v>
      </c>
    </row>
    <row r="7" spans="1:9" x14ac:dyDescent="0.25">
      <c r="A7" t="s">
        <v>1177</v>
      </c>
      <c r="B7" t="s">
        <v>900</v>
      </c>
      <c r="C7" t="s">
        <v>37</v>
      </c>
      <c r="D7" t="s">
        <v>1180</v>
      </c>
      <c r="E7" t="s">
        <v>1127</v>
      </c>
    </row>
    <row r="8" spans="1:9" x14ac:dyDescent="0.25">
      <c r="A8" t="s">
        <v>36</v>
      </c>
      <c r="B8" t="s">
        <v>901</v>
      </c>
      <c r="C8" t="s">
        <v>902</v>
      </c>
      <c r="D8" t="s">
        <v>1181</v>
      </c>
      <c r="E8" t="s">
        <v>1128</v>
      </c>
    </row>
    <row r="9" spans="1:9" x14ac:dyDescent="0.25">
      <c r="A9" t="s">
        <v>161</v>
      </c>
      <c r="B9" t="s">
        <v>903</v>
      </c>
      <c r="C9" t="s">
        <v>904</v>
      </c>
      <c r="D9" t="s">
        <v>1182</v>
      </c>
      <c r="E9" t="s">
        <v>1129</v>
      </c>
    </row>
    <row r="10" spans="1:9" x14ac:dyDescent="0.25">
      <c r="B10" t="s">
        <v>92</v>
      </c>
      <c r="C10" t="s">
        <v>33</v>
      </c>
      <c r="D10" t="s">
        <v>1183</v>
      </c>
      <c r="E10" t="s">
        <v>1137</v>
      </c>
    </row>
    <row r="11" spans="1:9" x14ac:dyDescent="0.25">
      <c r="B11" t="s">
        <v>93</v>
      </c>
      <c r="C11" t="s">
        <v>220</v>
      </c>
      <c r="D11" t="s">
        <v>1184</v>
      </c>
      <c r="E11" t="s">
        <v>1139</v>
      </c>
    </row>
    <row r="12" spans="1:9" x14ac:dyDescent="0.25">
      <c r="B12" t="s">
        <v>905</v>
      </c>
      <c r="C12" t="s">
        <v>906</v>
      </c>
      <c r="D12" t="s">
        <v>1185</v>
      </c>
      <c r="E12" t="s">
        <v>1140</v>
      </c>
    </row>
    <row r="13" spans="1:9" x14ac:dyDescent="0.25">
      <c r="B13" t="s">
        <v>907</v>
      </c>
      <c r="C13" t="s">
        <v>30</v>
      </c>
      <c r="D13" t="s">
        <v>1187</v>
      </c>
      <c r="E13" t="s">
        <v>1141</v>
      </c>
    </row>
    <row r="14" spans="1:9" x14ac:dyDescent="0.25">
      <c r="B14" t="s">
        <v>908</v>
      </c>
      <c r="C14" t="s">
        <v>164</v>
      </c>
      <c r="D14" t="s">
        <v>1186</v>
      </c>
    </row>
    <row r="15" spans="1:9" x14ac:dyDescent="0.25">
      <c r="B15" t="s">
        <v>909</v>
      </c>
      <c r="C15" t="s">
        <v>163</v>
      </c>
      <c r="D15" t="s">
        <v>1188</v>
      </c>
    </row>
    <row r="16" spans="1:9" x14ac:dyDescent="0.25">
      <c r="B16" t="s">
        <v>910</v>
      </c>
      <c r="C16" t="s">
        <v>120</v>
      </c>
      <c r="D16" t="s">
        <v>1189</v>
      </c>
    </row>
    <row r="17" spans="2:4" x14ac:dyDescent="0.25">
      <c r="B17" t="s">
        <v>911</v>
      </c>
      <c r="C17" t="s">
        <v>167</v>
      </c>
      <c r="D17" t="s">
        <v>1190</v>
      </c>
    </row>
    <row r="18" spans="2:4" x14ac:dyDescent="0.25">
      <c r="B18" t="s">
        <v>912</v>
      </c>
      <c r="C18" t="s">
        <v>913</v>
      </c>
      <c r="D18" t="s">
        <v>1191</v>
      </c>
    </row>
    <row r="19" spans="2:4" x14ac:dyDescent="0.25">
      <c r="B19" t="s">
        <v>914</v>
      </c>
      <c r="D19" t="s">
        <v>1192</v>
      </c>
    </row>
    <row r="20" spans="2:4" x14ac:dyDescent="0.25">
      <c r="B20" t="s">
        <v>915</v>
      </c>
      <c r="D20" t="s">
        <v>1193</v>
      </c>
    </row>
    <row r="21" spans="2:4" x14ac:dyDescent="0.25">
      <c r="B21" t="s">
        <v>916</v>
      </c>
    </row>
    <row r="22" spans="2:4" x14ac:dyDescent="0.25">
      <c r="B22" t="s">
        <v>917</v>
      </c>
    </row>
    <row r="23" spans="2:4" x14ac:dyDescent="0.25">
      <c r="B23" t="s">
        <v>918</v>
      </c>
    </row>
    <row r="24" spans="2:4" x14ac:dyDescent="0.25">
      <c r="B24" t="s">
        <v>919</v>
      </c>
    </row>
    <row r="25" spans="2:4" x14ac:dyDescent="0.25">
      <c r="B25" t="s">
        <v>920</v>
      </c>
    </row>
    <row r="26" spans="2:4" x14ac:dyDescent="0.25">
      <c r="B26" t="s">
        <v>921</v>
      </c>
    </row>
    <row r="27" spans="2:4" x14ac:dyDescent="0.25">
      <c r="B27" t="s">
        <v>922</v>
      </c>
    </row>
    <row r="28" spans="2:4" x14ac:dyDescent="0.25">
      <c r="B28" t="s">
        <v>923</v>
      </c>
    </row>
    <row r="29" spans="2:4" x14ac:dyDescent="0.25">
      <c r="B29" t="s">
        <v>924</v>
      </c>
    </row>
    <row r="30" spans="2:4" x14ac:dyDescent="0.25">
      <c r="B30" t="s">
        <v>925</v>
      </c>
    </row>
    <row r="31" spans="2:4" x14ac:dyDescent="0.25">
      <c r="B31" t="s">
        <v>926</v>
      </c>
    </row>
    <row r="32" spans="2:4" x14ac:dyDescent="0.25">
      <c r="B32" t="s">
        <v>91</v>
      </c>
    </row>
    <row r="33" spans="2:2" x14ac:dyDescent="0.25">
      <c r="B33" t="s">
        <v>927</v>
      </c>
    </row>
    <row r="34" spans="2:2" x14ac:dyDescent="0.25">
      <c r="B34" t="s">
        <v>928</v>
      </c>
    </row>
    <row r="35" spans="2:2" x14ac:dyDescent="0.25">
      <c r="B35" t="s">
        <v>929</v>
      </c>
    </row>
    <row r="36" spans="2:2" x14ac:dyDescent="0.25">
      <c r="B36" t="s">
        <v>930</v>
      </c>
    </row>
    <row r="37" spans="2:2" x14ac:dyDescent="0.25">
      <c r="B37" t="s">
        <v>931</v>
      </c>
    </row>
    <row r="38" spans="2:2" x14ac:dyDescent="0.25">
      <c r="B38" t="s">
        <v>932</v>
      </c>
    </row>
    <row r="39" spans="2:2" x14ac:dyDescent="0.25">
      <c r="B39" t="s">
        <v>933</v>
      </c>
    </row>
    <row r="40" spans="2:2" x14ac:dyDescent="0.25">
      <c r="B40" t="s">
        <v>934</v>
      </c>
    </row>
    <row r="41" spans="2:2" x14ac:dyDescent="0.25">
      <c r="B41" t="s">
        <v>89</v>
      </c>
    </row>
    <row r="42" spans="2:2" x14ac:dyDescent="0.25">
      <c r="B42" t="s">
        <v>935</v>
      </c>
    </row>
    <row r="43" spans="2:2" x14ac:dyDescent="0.25">
      <c r="B43" t="s">
        <v>936</v>
      </c>
    </row>
    <row r="44" spans="2:2" x14ac:dyDescent="0.25">
      <c r="B44" t="s">
        <v>937</v>
      </c>
    </row>
    <row r="45" spans="2:2" x14ac:dyDescent="0.25">
      <c r="B45" t="s">
        <v>938</v>
      </c>
    </row>
    <row r="46" spans="2:2" x14ac:dyDescent="0.25">
      <c r="B46" t="s">
        <v>939</v>
      </c>
    </row>
    <row r="47" spans="2:2" x14ac:dyDescent="0.25">
      <c r="B47" t="s">
        <v>940</v>
      </c>
    </row>
    <row r="48" spans="2:2" x14ac:dyDescent="0.25">
      <c r="B48" t="s">
        <v>941</v>
      </c>
    </row>
    <row r="49" spans="2:2" x14ac:dyDescent="0.25">
      <c r="B49" t="s">
        <v>32</v>
      </c>
    </row>
    <row r="50" spans="2:2" x14ac:dyDescent="0.25">
      <c r="B50" t="s">
        <v>942</v>
      </c>
    </row>
    <row r="51" spans="2:2" x14ac:dyDescent="0.25">
      <c r="B51" t="s">
        <v>943</v>
      </c>
    </row>
    <row r="52" spans="2:2" x14ac:dyDescent="0.25">
      <c r="B52" t="s">
        <v>944</v>
      </c>
    </row>
    <row r="53" spans="2:2" x14ac:dyDescent="0.25">
      <c r="B53" t="s">
        <v>945</v>
      </c>
    </row>
    <row r="54" spans="2:2" x14ac:dyDescent="0.25">
      <c r="B54" t="s">
        <v>946</v>
      </c>
    </row>
    <row r="55" spans="2:2" x14ac:dyDescent="0.25">
      <c r="B55" t="s">
        <v>947</v>
      </c>
    </row>
    <row r="56" spans="2:2" x14ac:dyDescent="0.25">
      <c r="B56" t="s">
        <v>948</v>
      </c>
    </row>
    <row r="57" spans="2:2" x14ac:dyDescent="0.25">
      <c r="B57" t="s">
        <v>949</v>
      </c>
    </row>
    <row r="58" spans="2:2" x14ac:dyDescent="0.25">
      <c r="B58" t="s">
        <v>950</v>
      </c>
    </row>
    <row r="59" spans="2:2" x14ac:dyDescent="0.25">
      <c r="B59" t="s">
        <v>951</v>
      </c>
    </row>
    <row r="60" spans="2:2" x14ac:dyDescent="0.25">
      <c r="B60" t="s">
        <v>952</v>
      </c>
    </row>
    <row r="61" spans="2:2" x14ac:dyDescent="0.25">
      <c r="B61" t="s">
        <v>953</v>
      </c>
    </row>
    <row r="62" spans="2:2" x14ac:dyDescent="0.25">
      <c r="B62" t="s">
        <v>954</v>
      </c>
    </row>
    <row r="63" spans="2:2" x14ac:dyDescent="0.25">
      <c r="B63" t="s">
        <v>955</v>
      </c>
    </row>
    <row r="64" spans="2:2" x14ac:dyDescent="0.25">
      <c r="B64" t="s">
        <v>956</v>
      </c>
    </row>
    <row r="65" spans="2:2" x14ac:dyDescent="0.25">
      <c r="B65" t="s">
        <v>957</v>
      </c>
    </row>
    <row r="66" spans="2:2" x14ac:dyDescent="0.25">
      <c r="B66" t="s">
        <v>958</v>
      </c>
    </row>
    <row r="67" spans="2:2" x14ac:dyDescent="0.25">
      <c r="B67" t="s">
        <v>430</v>
      </c>
    </row>
    <row r="68" spans="2:2" x14ac:dyDescent="0.25">
      <c r="B68" t="s">
        <v>959</v>
      </c>
    </row>
    <row r="69" spans="2:2" x14ac:dyDescent="0.25">
      <c r="B69" t="s">
        <v>960</v>
      </c>
    </row>
    <row r="70" spans="2:2" x14ac:dyDescent="0.25">
      <c r="B70" t="s">
        <v>961</v>
      </c>
    </row>
    <row r="71" spans="2:2" x14ac:dyDescent="0.25">
      <c r="B71" t="s">
        <v>962</v>
      </c>
    </row>
    <row r="72" spans="2:2" x14ac:dyDescent="0.25">
      <c r="B72" t="s">
        <v>963</v>
      </c>
    </row>
    <row r="73" spans="2:2" x14ac:dyDescent="0.25">
      <c r="B73" t="s">
        <v>964</v>
      </c>
    </row>
    <row r="74" spans="2:2" x14ac:dyDescent="0.25">
      <c r="B74" t="s">
        <v>965</v>
      </c>
    </row>
    <row r="75" spans="2:2" x14ac:dyDescent="0.25">
      <c r="B75" t="s">
        <v>966</v>
      </c>
    </row>
    <row r="76" spans="2:2" x14ac:dyDescent="0.25">
      <c r="B76" t="s">
        <v>967</v>
      </c>
    </row>
    <row r="77" spans="2:2" x14ac:dyDescent="0.25">
      <c r="B77" t="s">
        <v>968</v>
      </c>
    </row>
    <row r="78" spans="2:2" x14ac:dyDescent="0.25">
      <c r="B78" t="s">
        <v>969</v>
      </c>
    </row>
    <row r="79" spans="2:2" x14ac:dyDescent="0.25">
      <c r="B79" t="s">
        <v>970</v>
      </c>
    </row>
    <row r="80" spans="2:2" x14ac:dyDescent="0.25">
      <c r="B80" t="s">
        <v>971</v>
      </c>
    </row>
    <row r="81" spans="2:2" x14ac:dyDescent="0.25">
      <c r="B81" t="s">
        <v>972</v>
      </c>
    </row>
    <row r="82" spans="2:2" x14ac:dyDescent="0.25">
      <c r="B82" t="s">
        <v>973</v>
      </c>
    </row>
    <row r="83" spans="2:2" x14ac:dyDescent="0.25">
      <c r="B83" t="s">
        <v>974</v>
      </c>
    </row>
    <row r="84" spans="2:2" x14ac:dyDescent="0.25">
      <c r="B84" t="s">
        <v>975</v>
      </c>
    </row>
    <row r="85" spans="2:2" x14ac:dyDescent="0.25">
      <c r="B85" t="s">
        <v>976</v>
      </c>
    </row>
    <row r="86" spans="2:2" x14ac:dyDescent="0.25">
      <c r="B86" t="s">
        <v>977</v>
      </c>
    </row>
    <row r="87" spans="2:2" x14ac:dyDescent="0.25">
      <c r="B87" t="s">
        <v>978</v>
      </c>
    </row>
    <row r="88" spans="2:2" x14ac:dyDescent="0.25">
      <c r="B88" t="s">
        <v>979</v>
      </c>
    </row>
    <row r="89" spans="2:2" x14ac:dyDescent="0.25">
      <c r="B89" t="s">
        <v>980</v>
      </c>
    </row>
    <row r="90" spans="2:2" x14ac:dyDescent="0.25">
      <c r="B90" t="s">
        <v>981</v>
      </c>
    </row>
    <row r="91" spans="2:2" x14ac:dyDescent="0.25">
      <c r="B91" t="s">
        <v>982</v>
      </c>
    </row>
    <row r="92" spans="2:2" x14ac:dyDescent="0.25">
      <c r="B92" t="s">
        <v>983</v>
      </c>
    </row>
    <row r="93" spans="2:2" x14ac:dyDescent="0.25">
      <c r="B93" t="s">
        <v>984</v>
      </c>
    </row>
    <row r="94" spans="2:2" x14ac:dyDescent="0.25">
      <c r="B94" t="s">
        <v>985</v>
      </c>
    </row>
    <row r="95" spans="2:2" x14ac:dyDescent="0.25">
      <c r="B95" t="s">
        <v>87</v>
      </c>
    </row>
    <row r="96" spans="2:2" x14ac:dyDescent="0.25">
      <c r="B96" t="s">
        <v>986</v>
      </c>
    </row>
    <row r="97" spans="2:2" x14ac:dyDescent="0.25">
      <c r="B97" t="s">
        <v>987</v>
      </c>
    </row>
    <row r="98" spans="2:2" x14ac:dyDescent="0.25">
      <c r="B98" t="s">
        <v>988</v>
      </c>
    </row>
    <row r="99" spans="2:2" x14ac:dyDescent="0.25">
      <c r="B99" t="s">
        <v>989</v>
      </c>
    </row>
    <row r="100" spans="2:2" x14ac:dyDescent="0.25">
      <c r="B100" t="s">
        <v>990</v>
      </c>
    </row>
    <row r="101" spans="2:2" x14ac:dyDescent="0.25">
      <c r="B101" t="s">
        <v>991</v>
      </c>
    </row>
    <row r="102" spans="2:2" x14ac:dyDescent="0.25">
      <c r="B102" t="s">
        <v>992</v>
      </c>
    </row>
    <row r="103" spans="2:2" x14ac:dyDescent="0.25">
      <c r="B103" t="s">
        <v>993</v>
      </c>
    </row>
    <row r="104" spans="2:2" x14ac:dyDescent="0.25">
      <c r="B104" t="s">
        <v>994</v>
      </c>
    </row>
    <row r="105" spans="2:2" x14ac:dyDescent="0.25">
      <c r="B105" t="s">
        <v>995</v>
      </c>
    </row>
    <row r="106" spans="2:2" x14ac:dyDescent="0.25">
      <c r="B106" t="s">
        <v>996</v>
      </c>
    </row>
    <row r="107" spans="2:2" x14ac:dyDescent="0.25">
      <c r="B107" t="s">
        <v>997</v>
      </c>
    </row>
    <row r="108" spans="2:2" x14ac:dyDescent="0.25">
      <c r="B108" t="s">
        <v>998</v>
      </c>
    </row>
    <row r="109" spans="2:2" x14ac:dyDescent="0.25">
      <c r="B109" t="s">
        <v>999</v>
      </c>
    </row>
    <row r="110" spans="2:2" x14ac:dyDescent="0.25">
      <c r="B110" t="s">
        <v>1000</v>
      </c>
    </row>
    <row r="111" spans="2:2" x14ac:dyDescent="0.25">
      <c r="B111" t="s">
        <v>1001</v>
      </c>
    </row>
    <row r="112" spans="2:2" x14ac:dyDescent="0.25">
      <c r="B112" t="s">
        <v>1002</v>
      </c>
    </row>
    <row r="113" spans="2:2" x14ac:dyDescent="0.25">
      <c r="B113" t="s">
        <v>1003</v>
      </c>
    </row>
    <row r="114" spans="2:2" x14ac:dyDescent="0.25">
      <c r="B114" t="s">
        <v>1004</v>
      </c>
    </row>
    <row r="115" spans="2:2" x14ac:dyDescent="0.25">
      <c r="B115" t="s">
        <v>97</v>
      </c>
    </row>
    <row r="116" spans="2:2" x14ac:dyDescent="0.25">
      <c r="B116" t="s">
        <v>1005</v>
      </c>
    </row>
    <row r="117" spans="2:2" x14ac:dyDescent="0.25">
      <c r="B117" t="s">
        <v>1006</v>
      </c>
    </row>
    <row r="118" spans="2:2" x14ac:dyDescent="0.25">
      <c r="B118" t="s">
        <v>1007</v>
      </c>
    </row>
    <row r="119" spans="2:2" x14ac:dyDescent="0.25">
      <c r="B119" t="s">
        <v>1008</v>
      </c>
    </row>
    <row r="120" spans="2:2" x14ac:dyDescent="0.25">
      <c r="B120" t="s">
        <v>1009</v>
      </c>
    </row>
    <row r="121" spans="2:2" x14ac:dyDescent="0.25">
      <c r="B121" t="s">
        <v>1010</v>
      </c>
    </row>
    <row r="122" spans="2:2" x14ac:dyDescent="0.25">
      <c r="B122" t="s">
        <v>1011</v>
      </c>
    </row>
    <row r="123" spans="2:2" x14ac:dyDescent="0.25">
      <c r="B123" t="s">
        <v>1012</v>
      </c>
    </row>
    <row r="124" spans="2:2" x14ac:dyDescent="0.25">
      <c r="B124" t="s">
        <v>1013</v>
      </c>
    </row>
    <row r="125" spans="2:2" x14ac:dyDescent="0.25">
      <c r="B125" t="s">
        <v>1014</v>
      </c>
    </row>
    <row r="126" spans="2:2" x14ac:dyDescent="0.25">
      <c r="B126" t="s">
        <v>1015</v>
      </c>
    </row>
    <row r="127" spans="2:2" x14ac:dyDescent="0.25">
      <c r="B127" t="s">
        <v>1016</v>
      </c>
    </row>
    <row r="128" spans="2:2" x14ac:dyDescent="0.25">
      <c r="B128" t="s">
        <v>1017</v>
      </c>
    </row>
    <row r="129" spans="2:2" x14ac:dyDescent="0.25">
      <c r="B129" t="s">
        <v>1018</v>
      </c>
    </row>
    <row r="130" spans="2:2" x14ac:dyDescent="0.25">
      <c r="B130" t="s">
        <v>1019</v>
      </c>
    </row>
    <row r="131" spans="2:2" x14ac:dyDescent="0.25">
      <c r="B131" t="s">
        <v>1020</v>
      </c>
    </row>
    <row r="132" spans="2:2" x14ac:dyDescent="0.25">
      <c r="B132" t="s">
        <v>1021</v>
      </c>
    </row>
    <row r="133" spans="2:2" x14ac:dyDescent="0.25">
      <c r="B133" t="s">
        <v>1022</v>
      </c>
    </row>
    <row r="134" spans="2:2" x14ac:dyDescent="0.25">
      <c r="B134" t="s">
        <v>1023</v>
      </c>
    </row>
    <row r="135" spans="2:2" x14ac:dyDescent="0.25">
      <c r="B135" t="s">
        <v>1024</v>
      </c>
    </row>
    <row r="136" spans="2:2" x14ac:dyDescent="0.25">
      <c r="B136" t="s">
        <v>1025</v>
      </c>
    </row>
    <row r="137" spans="2:2" x14ac:dyDescent="0.25">
      <c r="B137" t="s">
        <v>1026</v>
      </c>
    </row>
    <row r="138" spans="2:2" x14ac:dyDescent="0.25">
      <c r="B138" t="s">
        <v>29</v>
      </c>
    </row>
    <row r="139" spans="2:2" x14ac:dyDescent="0.25">
      <c r="B139" t="s">
        <v>1027</v>
      </c>
    </row>
    <row r="140" spans="2:2" x14ac:dyDescent="0.25">
      <c r="B140" t="s">
        <v>1028</v>
      </c>
    </row>
    <row r="141" spans="2:2" x14ac:dyDescent="0.25">
      <c r="B141" t="s">
        <v>1029</v>
      </c>
    </row>
    <row r="142" spans="2:2" x14ac:dyDescent="0.25">
      <c r="B142" t="s">
        <v>1030</v>
      </c>
    </row>
    <row r="143" spans="2:2" x14ac:dyDescent="0.25">
      <c r="B143" t="s">
        <v>1134</v>
      </c>
    </row>
    <row r="144" spans="2:2" x14ac:dyDescent="0.25">
      <c r="B144" t="s">
        <v>1031</v>
      </c>
    </row>
    <row r="145" spans="2:2" x14ac:dyDescent="0.25">
      <c r="B145" t="s">
        <v>1032</v>
      </c>
    </row>
    <row r="146" spans="2:2" x14ac:dyDescent="0.25">
      <c r="B146" t="s">
        <v>1033</v>
      </c>
    </row>
    <row r="147" spans="2:2" x14ac:dyDescent="0.25">
      <c r="B147" t="s">
        <v>1034</v>
      </c>
    </row>
    <row r="148" spans="2:2" x14ac:dyDescent="0.25">
      <c r="B148" t="s">
        <v>1035</v>
      </c>
    </row>
    <row r="149" spans="2:2" x14ac:dyDescent="0.25">
      <c r="B149" t="s">
        <v>1036</v>
      </c>
    </row>
    <row r="150" spans="2:2" x14ac:dyDescent="0.25">
      <c r="B150" t="s">
        <v>1037</v>
      </c>
    </row>
    <row r="151" spans="2:2" x14ac:dyDescent="0.25">
      <c r="B151" t="s">
        <v>1038</v>
      </c>
    </row>
    <row r="152" spans="2:2" x14ac:dyDescent="0.25">
      <c r="B152" t="s">
        <v>1039</v>
      </c>
    </row>
    <row r="153" spans="2:2" x14ac:dyDescent="0.25">
      <c r="B153" t="s">
        <v>1040</v>
      </c>
    </row>
    <row r="154" spans="2:2" x14ac:dyDescent="0.25">
      <c r="B154" t="s">
        <v>1041</v>
      </c>
    </row>
    <row r="155" spans="2:2" x14ac:dyDescent="0.25">
      <c r="B155" t="s">
        <v>1042</v>
      </c>
    </row>
    <row r="156" spans="2:2" x14ac:dyDescent="0.25">
      <c r="B156" t="s">
        <v>1043</v>
      </c>
    </row>
    <row r="157" spans="2:2" x14ac:dyDescent="0.25">
      <c r="B157" t="s">
        <v>68</v>
      </c>
    </row>
    <row r="158" spans="2:2" x14ac:dyDescent="0.25">
      <c r="B158" t="s">
        <v>1044</v>
      </c>
    </row>
    <row r="159" spans="2:2" x14ac:dyDescent="0.25">
      <c r="B159" t="s">
        <v>1045</v>
      </c>
    </row>
    <row r="160" spans="2:2" x14ac:dyDescent="0.25">
      <c r="B160" t="s">
        <v>1046</v>
      </c>
    </row>
    <row r="161" spans="2:2" x14ac:dyDescent="0.25">
      <c r="B161" t="s">
        <v>1047</v>
      </c>
    </row>
    <row r="162" spans="2:2" x14ac:dyDescent="0.25">
      <c r="B162" t="s">
        <v>1048</v>
      </c>
    </row>
    <row r="163" spans="2:2" x14ac:dyDescent="0.25">
      <c r="B163" t="s">
        <v>1049</v>
      </c>
    </row>
    <row r="164" spans="2:2" x14ac:dyDescent="0.25">
      <c r="B164" t="s">
        <v>1050</v>
      </c>
    </row>
    <row r="165" spans="2:2" x14ac:dyDescent="0.25">
      <c r="B165" t="s">
        <v>1051</v>
      </c>
    </row>
    <row r="166" spans="2:2" x14ac:dyDescent="0.25">
      <c r="B166" t="s">
        <v>1052</v>
      </c>
    </row>
    <row r="167" spans="2:2" x14ac:dyDescent="0.25">
      <c r="B167" t="s">
        <v>1053</v>
      </c>
    </row>
    <row r="168" spans="2:2" x14ac:dyDescent="0.25">
      <c r="B168" t="s">
        <v>1054</v>
      </c>
    </row>
    <row r="169" spans="2:2" x14ac:dyDescent="0.25">
      <c r="B169" t="s">
        <v>1055</v>
      </c>
    </row>
    <row r="170" spans="2:2" x14ac:dyDescent="0.25">
      <c r="B170" t="s">
        <v>1056</v>
      </c>
    </row>
    <row r="171" spans="2:2" x14ac:dyDescent="0.25">
      <c r="B171" t="s">
        <v>1057</v>
      </c>
    </row>
    <row r="172" spans="2:2" x14ac:dyDescent="0.25">
      <c r="B172" t="s">
        <v>1058</v>
      </c>
    </row>
    <row r="173" spans="2:2" x14ac:dyDescent="0.25">
      <c r="B173" t="s">
        <v>1059</v>
      </c>
    </row>
    <row r="174" spans="2:2" x14ac:dyDescent="0.25">
      <c r="B174" t="s">
        <v>1060</v>
      </c>
    </row>
    <row r="175" spans="2:2" x14ac:dyDescent="0.25">
      <c r="B175" t="s">
        <v>1061</v>
      </c>
    </row>
    <row r="176" spans="2:2" x14ac:dyDescent="0.25">
      <c r="B176" t="s">
        <v>1062</v>
      </c>
    </row>
    <row r="177" spans="2:2" x14ac:dyDescent="0.25">
      <c r="B177" t="s">
        <v>534</v>
      </c>
    </row>
    <row r="178" spans="2:2" x14ac:dyDescent="0.25">
      <c r="B178" t="s">
        <v>1063</v>
      </c>
    </row>
    <row r="179" spans="2:2" x14ac:dyDescent="0.25">
      <c r="B179" t="s">
        <v>1064</v>
      </c>
    </row>
    <row r="180" spans="2:2" x14ac:dyDescent="0.25">
      <c r="B180" t="s">
        <v>1065</v>
      </c>
    </row>
    <row r="181" spans="2:2" x14ac:dyDescent="0.25">
      <c r="B181" t="s">
        <v>1066</v>
      </c>
    </row>
    <row r="182" spans="2:2" x14ac:dyDescent="0.25">
      <c r="B182" t="s">
        <v>1067</v>
      </c>
    </row>
    <row r="183" spans="2:2" x14ac:dyDescent="0.25">
      <c r="B183" t="s">
        <v>1068</v>
      </c>
    </row>
    <row r="184" spans="2:2" x14ac:dyDescent="0.25">
      <c r="B184" t="s">
        <v>1069</v>
      </c>
    </row>
    <row r="185" spans="2:2" x14ac:dyDescent="0.25">
      <c r="B185" t="s">
        <v>1070</v>
      </c>
    </row>
    <row r="186" spans="2:2" x14ac:dyDescent="0.25">
      <c r="B186" t="s">
        <v>1071</v>
      </c>
    </row>
    <row r="187" spans="2:2" x14ac:dyDescent="0.25">
      <c r="B187" t="s">
        <v>1072</v>
      </c>
    </row>
    <row r="188" spans="2:2" x14ac:dyDescent="0.25">
      <c r="B188" t="s">
        <v>1073</v>
      </c>
    </row>
    <row r="189" spans="2:2" x14ac:dyDescent="0.25">
      <c r="B189" t="s">
        <v>1074</v>
      </c>
    </row>
    <row r="190" spans="2:2" x14ac:dyDescent="0.25">
      <c r="B190" t="s">
        <v>1075</v>
      </c>
    </row>
    <row r="191" spans="2:2" x14ac:dyDescent="0.25">
      <c r="B191" t="s">
        <v>1076</v>
      </c>
    </row>
    <row r="192" spans="2:2" x14ac:dyDescent="0.25">
      <c r="B192" t="s">
        <v>1077</v>
      </c>
    </row>
    <row r="193" spans="2:2" x14ac:dyDescent="0.25">
      <c r="B193" t="s">
        <v>1078</v>
      </c>
    </row>
    <row r="194" spans="2:2" x14ac:dyDescent="0.25">
      <c r="B194" t="s">
        <v>1079</v>
      </c>
    </row>
    <row r="195" spans="2:2" x14ac:dyDescent="0.25">
      <c r="B195" t="s">
        <v>1080</v>
      </c>
    </row>
    <row r="196" spans="2:2" x14ac:dyDescent="0.25">
      <c r="B196" t="s">
        <v>1081</v>
      </c>
    </row>
    <row r="197" spans="2:2" x14ac:dyDescent="0.25">
      <c r="B197" t="s">
        <v>1082</v>
      </c>
    </row>
    <row r="198" spans="2:2" x14ac:dyDescent="0.25">
      <c r="B198" t="s">
        <v>1083</v>
      </c>
    </row>
    <row r="199" spans="2:2" x14ac:dyDescent="0.25">
      <c r="B199" t="s">
        <v>1084</v>
      </c>
    </row>
    <row r="200" spans="2:2" x14ac:dyDescent="0.25">
      <c r="B200" t="s">
        <v>1085</v>
      </c>
    </row>
    <row r="201" spans="2:2" x14ac:dyDescent="0.25">
      <c r="B201" t="s">
        <v>1086</v>
      </c>
    </row>
    <row r="202" spans="2:2" x14ac:dyDescent="0.25">
      <c r="B202" t="s">
        <v>1087</v>
      </c>
    </row>
    <row r="203" spans="2:2" x14ac:dyDescent="0.25">
      <c r="B203" t="s">
        <v>1088</v>
      </c>
    </row>
    <row r="204" spans="2:2" x14ac:dyDescent="0.25">
      <c r="B204" t="s">
        <v>1089</v>
      </c>
    </row>
    <row r="205" spans="2:2" x14ac:dyDescent="0.25">
      <c r="B205" t="s">
        <v>1090</v>
      </c>
    </row>
    <row r="206" spans="2:2" x14ac:dyDescent="0.25">
      <c r="B206" t="s">
        <v>566</v>
      </c>
    </row>
    <row r="207" spans="2:2" x14ac:dyDescent="0.25">
      <c r="B207" t="s">
        <v>567</v>
      </c>
    </row>
    <row r="208" spans="2:2" x14ac:dyDescent="0.25">
      <c r="B208" t="s">
        <v>568</v>
      </c>
    </row>
    <row r="209" spans="2:2" x14ac:dyDescent="0.25">
      <c r="B209" t="s">
        <v>569</v>
      </c>
    </row>
    <row r="210" spans="2:2" x14ac:dyDescent="0.25">
      <c r="B210" t="s">
        <v>570</v>
      </c>
    </row>
    <row r="211" spans="2:2" x14ac:dyDescent="0.25">
      <c r="B211" t="s">
        <v>572</v>
      </c>
    </row>
    <row r="212" spans="2:2" x14ac:dyDescent="0.25">
      <c r="B212" t="s">
        <v>573</v>
      </c>
    </row>
    <row r="213" spans="2:2" x14ac:dyDescent="0.25">
      <c r="B213" t="s">
        <v>574</v>
      </c>
    </row>
    <row r="214" spans="2:2" x14ac:dyDescent="0.25">
      <c r="B214" t="s">
        <v>575</v>
      </c>
    </row>
    <row r="215" spans="2:2" x14ac:dyDescent="0.25">
      <c r="B215" t="s">
        <v>576</v>
      </c>
    </row>
    <row r="216" spans="2:2" x14ac:dyDescent="0.25">
      <c r="B216" t="s">
        <v>577</v>
      </c>
    </row>
    <row r="217" spans="2:2" x14ac:dyDescent="0.25">
      <c r="B217" t="s">
        <v>578</v>
      </c>
    </row>
    <row r="218" spans="2:2" x14ac:dyDescent="0.25">
      <c r="B218" t="s">
        <v>579</v>
      </c>
    </row>
    <row r="219" spans="2:2" x14ac:dyDescent="0.25">
      <c r="B219" t="s">
        <v>580</v>
      </c>
    </row>
    <row r="220" spans="2:2" x14ac:dyDescent="0.25">
      <c r="B220" t="s">
        <v>581</v>
      </c>
    </row>
    <row r="221" spans="2:2" x14ac:dyDescent="0.25">
      <c r="B221" t="s">
        <v>582</v>
      </c>
    </row>
    <row r="222" spans="2:2" x14ac:dyDescent="0.25">
      <c r="B222" t="s">
        <v>586</v>
      </c>
    </row>
    <row r="223" spans="2:2" x14ac:dyDescent="0.25">
      <c r="B223" t="s">
        <v>588</v>
      </c>
    </row>
    <row r="224" spans="2:2" x14ac:dyDescent="0.25">
      <c r="B224" t="s">
        <v>589</v>
      </c>
    </row>
    <row r="225" spans="2:2" x14ac:dyDescent="0.25">
      <c r="B225" t="s">
        <v>590</v>
      </c>
    </row>
    <row r="226" spans="2:2" x14ac:dyDescent="0.25">
      <c r="B226" t="s">
        <v>591</v>
      </c>
    </row>
    <row r="227" spans="2:2" x14ac:dyDescent="0.25">
      <c r="B227" t="s">
        <v>592</v>
      </c>
    </row>
    <row r="228" spans="2:2" x14ac:dyDescent="0.25">
      <c r="B228" t="s">
        <v>593</v>
      </c>
    </row>
    <row r="229" spans="2:2" x14ac:dyDescent="0.25">
      <c r="B229" t="s">
        <v>594</v>
      </c>
    </row>
    <row r="230" spans="2:2" x14ac:dyDescent="0.25">
      <c r="B230" t="s">
        <v>595</v>
      </c>
    </row>
    <row r="231" spans="2:2" x14ac:dyDescent="0.25">
      <c r="B231" t="s">
        <v>596</v>
      </c>
    </row>
    <row r="232" spans="2:2" x14ac:dyDescent="0.25">
      <c r="B232" t="s">
        <v>598</v>
      </c>
    </row>
    <row r="233" spans="2:2" x14ac:dyDescent="0.25">
      <c r="B233" t="s">
        <v>599</v>
      </c>
    </row>
    <row r="234" spans="2:2" x14ac:dyDescent="0.25">
      <c r="B234" t="s">
        <v>601</v>
      </c>
    </row>
    <row r="235" spans="2:2" x14ac:dyDescent="0.25">
      <c r="B235" t="s">
        <v>602</v>
      </c>
    </row>
    <row r="236" spans="2:2" x14ac:dyDescent="0.25">
      <c r="B236" t="s">
        <v>603</v>
      </c>
    </row>
    <row r="237" spans="2:2" x14ac:dyDescent="0.25">
      <c r="B237" t="s">
        <v>604</v>
      </c>
    </row>
    <row r="238" spans="2:2" x14ac:dyDescent="0.25">
      <c r="B238" t="s">
        <v>605</v>
      </c>
    </row>
    <row r="239" spans="2:2" x14ac:dyDescent="0.25">
      <c r="B239" t="s">
        <v>606</v>
      </c>
    </row>
    <row r="240" spans="2:2" x14ac:dyDescent="0.25">
      <c r="B240" t="s">
        <v>607</v>
      </c>
    </row>
    <row r="241" spans="2:2" x14ac:dyDescent="0.25">
      <c r="B241" t="s">
        <v>608</v>
      </c>
    </row>
    <row r="242" spans="2:2" x14ac:dyDescent="0.25">
      <c r="B242" t="s">
        <v>609</v>
      </c>
    </row>
    <row r="243" spans="2:2" x14ac:dyDescent="0.25">
      <c r="B243" t="s">
        <v>610</v>
      </c>
    </row>
    <row r="244" spans="2:2" x14ac:dyDescent="0.25">
      <c r="B244" t="s">
        <v>611</v>
      </c>
    </row>
    <row r="245" spans="2:2" x14ac:dyDescent="0.25">
      <c r="B245" t="s">
        <v>612</v>
      </c>
    </row>
    <row r="246" spans="2:2" x14ac:dyDescent="0.25">
      <c r="B246" t="s">
        <v>613</v>
      </c>
    </row>
    <row r="247" spans="2:2" x14ac:dyDescent="0.25">
      <c r="B247" t="s">
        <v>614</v>
      </c>
    </row>
    <row r="248" spans="2:2" x14ac:dyDescent="0.25">
      <c r="B248" t="s">
        <v>615</v>
      </c>
    </row>
    <row r="249" spans="2:2" x14ac:dyDescent="0.25">
      <c r="B249" t="s">
        <v>616</v>
      </c>
    </row>
    <row r="250" spans="2:2" x14ac:dyDescent="0.25">
      <c r="B250" t="s">
        <v>617</v>
      </c>
    </row>
    <row r="251" spans="2:2" x14ac:dyDescent="0.25">
      <c r="B251" t="s">
        <v>618</v>
      </c>
    </row>
    <row r="252" spans="2:2" x14ac:dyDescent="0.25">
      <c r="B252" t="s">
        <v>619</v>
      </c>
    </row>
    <row r="253" spans="2:2" x14ac:dyDescent="0.25">
      <c r="B253" t="s">
        <v>620</v>
      </c>
    </row>
    <row r="254" spans="2:2" x14ac:dyDescent="0.25">
      <c r="B254" t="s">
        <v>622</v>
      </c>
    </row>
    <row r="255" spans="2:2" x14ac:dyDescent="0.25">
      <c r="B255" t="s">
        <v>623</v>
      </c>
    </row>
    <row r="256" spans="2:2" x14ac:dyDescent="0.25">
      <c r="B256" t="s">
        <v>624</v>
      </c>
    </row>
    <row r="257" spans="2:2" x14ac:dyDescent="0.25">
      <c r="B257" t="s">
        <v>625</v>
      </c>
    </row>
    <row r="258" spans="2:2" x14ac:dyDescent="0.25">
      <c r="B258" t="s">
        <v>626</v>
      </c>
    </row>
    <row r="259" spans="2:2" x14ac:dyDescent="0.25">
      <c r="B259" t="s">
        <v>627</v>
      </c>
    </row>
    <row r="260" spans="2:2" x14ac:dyDescent="0.25">
      <c r="B260" t="s">
        <v>628</v>
      </c>
    </row>
    <row r="261" spans="2:2" x14ac:dyDescent="0.25">
      <c r="B261" t="s">
        <v>629</v>
      </c>
    </row>
    <row r="262" spans="2:2" x14ac:dyDescent="0.25">
      <c r="B262" t="s">
        <v>630</v>
      </c>
    </row>
    <row r="263" spans="2:2" x14ac:dyDescent="0.25">
      <c r="B263" t="s">
        <v>631</v>
      </c>
    </row>
    <row r="264" spans="2:2" x14ac:dyDescent="0.25">
      <c r="B264" t="s">
        <v>632</v>
      </c>
    </row>
    <row r="265" spans="2:2" x14ac:dyDescent="0.25">
      <c r="B265" t="s">
        <v>633</v>
      </c>
    </row>
    <row r="266" spans="2:2" x14ac:dyDescent="0.25">
      <c r="B266" t="s">
        <v>634</v>
      </c>
    </row>
    <row r="267" spans="2:2" x14ac:dyDescent="0.25">
      <c r="B267" t="s">
        <v>635</v>
      </c>
    </row>
    <row r="268" spans="2:2" x14ac:dyDescent="0.25">
      <c r="B268" t="s">
        <v>637</v>
      </c>
    </row>
    <row r="269" spans="2:2" x14ac:dyDescent="0.25">
      <c r="B269" t="s">
        <v>638</v>
      </c>
    </row>
    <row r="270" spans="2:2" x14ac:dyDescent="0.25">
      <c r="B270" t="s">
        <v>639</v>
      </c>
    </row>
    <row r="271" spans="2:2" x14ac:dyDescent="0.25">
      <c r="B271" t="s">
        <v>640</v>
      </c>
    </row>
    <row r="272" spans="2:2" x14ac:dyDescent="0.25">
      <c r="B272" t="s">
        <v>641</v>
      </c>
    </row>
    <row r="273" spans="2:2" x14ac:dyDescent="0.25">
      <c r="B273" t="s">
        <v>642</v>
      </c>
    </row>
    <row r="274" spans="2:2" x14ac:dyDescent="0.25">
      <c r="B274" t="s">
        <v>165</v>
      </c>
    </row>
    <row r="275" spans="2:2" x14ac:dyDescent="0.25">
      <c r="B275" t="s">
        <v>644</v>
      </c>
    </row>
    <row r="276" spans="2:2" x14ac:dyDescent="0.25">
      <c r="B276" t="s">
        <v>645</v>
      </c>
    </row>
    <row r="277" spans="2:2" x14ac:dyDescent="0.25">
      <c r="B277" t="s">
        <v>646</v>
      </c>
    </row>
    <row r="278" spans="2:2" x14ac:dyDescent="0.25">
      <c r="B278" t="s">
        <v>647</v>
      </c>
    </row>
    <row r="279" spans="2:2" x14ac:dyDescent="0.25">
      <c r="B279" t="s">
        <v>648</v>
      </c>
    </row>
    <row r="280" spans="2:2" x14ac:dyDescent="0.25">
      <c r="B280" t="s">
        <v>649</v>
      </c>
    </row>
    <row r="281" spans="2:2" x14ac:dyDescent="0.25">
      <c r="B281" t="s">
        <v>650</v>
      </c>
    </row>
    <row r="282" spans="2:2" x14ac:dyDescent="0.25">
      <c r="B282" t="s">
        <v>651</v>
      </c>
    </row>
    <row r="283" spans="2:2" x14ac:dyDescent="0.25">
      <c r="B283" t="s">
        <v>652</v>
      </c>
    </row>
    <row r="284" spans="2:2" x14ac:dyDescent="0.25">
      <c r="B284" t="s">
        <v>653</v>
      </c>
    </row>
    <row r="285" spans="2:2" x14ac:dyDescent="0.25">
      <c r="B285" t="s">
        <v>655</v>
      </c>
    </row>
    <row r="286" spans="2:2" x14ac:dyDescent="0.25">
      <c r="B286" t="s">
        <v>656</v>
      </c>
    </row>
    <row r="287" spans="2:2" x14ac:dyDescent="0.25">
      <c r="B287" t="s">
        <v>657</v>
      </c>
    </row>
    <row r="288" spans="2:2" x14ac:dyDescent="0.25">
      <c r="B288" t="s">
        <v>658</v>
      </c>
    </row>
    <row r="289" spans="2:2" x14ac:dyDescent="0.25">
      <c r="B289" t="s">
        <v>659</v>
      </c>
    </row>
    <row r="290" spans="2:2" x14ac:dyDescent="0.25">
      <c r="B290" t="s">
        <v>660</v>
      </c>
    </row>
    <row r="291" spans="2:2" x14ac:dyDescent="0.25">
      <c r="B291" t="s">
        <v>662</v>
      </c>
    </row>
    <row r="292" spans="2:2" x14ac:dyDescent="0.25">
      <c r="B292" t="s">
        <v>663</v>
      </c>
    </row>
    <row r="293" spans="2:2" x14ac:dyDescent="0.25">
      <c r="B293" t="s">
        <v>664</v>
      </c>
    </row>
    <row r="294" spans="2:2" x14ac:dyDescent="0.25">
      <c r="B294" t="s">
        <v>665</v>
      </c>
    </row>
    <row r="295" spans="2:2" x14ac:dyDescent="0.25">
      <c r="B295" t="s">
        <v>666</v>
      </c>
    </row>
    <row r="296" spans="2:2" x14ac:dyDescent="0.25">
      <c r="B296" t="s">
        <v>667</v>
      </c>
    </row>
    <row r="297" spans="2:2" x14ac:dyDescent="0.25">
      <c r="B297" t="s">
        <v>668</v>
      </c>
    </row>
    <row r="298" spans="2:2" x14ac:dyDescent="0.25">
      <c r="B298" t="s">
        <v>670</v>
      </c>
    </row>
    <row r="299" spans="2:2" x14ac:dyDescent="0.25">
      <c r="B299" t="s">
        <v>671</v>
      </c>
    </row>
    <row r="300" spans="2:2" x14ac:dyDescent="0.25">
      <c r="B300" t="s">
        <v>672</v>
      </c>
    </row>
    <row r="301" spans="2:2" x14ac:dyDescent="0.25">
      <c r="B301" t="s">
        <v>673</v>
      </c>
    </row>
    <row r="302" spans="2:2" x14ac:dyDescent="0.25">
      <c r="B302" t="s">
        <v>674</v>
      </c>
    </row>
    <row r="303" spans="2:2" x14ac:dyDescent="0.25">
      <c r="B303" t="s">
        <v>675</v>
      </c>
    </row>
    <row r="304" spans="2:2" x14ac:dyDescent="0.25">
      <c r="B304" t="s">
        <v>676</v>
      </c>
    </row>
    <row r="305" spans="2:2" x14ac:dyDescent="0.25">
      <c r="B305" t="s">
        <v>677</v>
      </c>
    </row>
    <row r="306" spans="2:2" x14ac:dyDescent="0.25">
      <c r="B306" t="s">
        <v>678</v>
      </c>
    </row>
    <row r="307" spans="2:2" x14ac:dyDescent="0.25">
      <c r="B307" t="s">
        <v>679</v>
      </c>
    </row>
    <row r="308" spans="2:2" x14ac:dyDescent="0.25">
      <c r="B308" t="s">
        <v>73</v>
      </c>
    </row>
    <row r="309" spans="2:2" x14ac:dyDescent="0.25">
      <c r="B309" t="s">
        <v>680</v>
      </c>
    </row>
    <row r="310" spans="2:2" x14ac:dyDescent="0.25">
      <c r="B310" t="s">
        <v>683</v>
      </c>
    </row>
    <row r="311" spans="2:2" x14ac:dyDescent="0.25">
      <c r="B311" t="s">
        <v>684</v>
      </c>
    </row>
    <row r="312" spans="2:2" x14ac:dyDescent="0.25">
      <c r="B312" t="s">
        <v>685</v>
      </c>
    </row>
    <row r="313" spans="2:2" x14ac:dyDescent="0.25">
      <c r="B313" t="s">
        <v>686</v>
      </c>
    </row>
    <row r="314" spans="2:2" x14ac:dyDescent="0.25">
      <c r="B314" t="s">
        <v>687</v>
      </c>
    </row>
    <row r="315" spans="2:2" x14ac:dyDescent="0.25">
      <c r="B315" t="s">
        <v>688</v>
      </c>
    </row>
    <row r="316" spans="2:2" x14ac:dyDescent="0.25">
      <c r="B316" t="s">
        <v>689</v>
      </c>
    </row>
    <row r="317" spans="2:2" x14ac:dyDescent="0.25">
      <c r="B317" t="s">
        <v>690</v>
      </c>
    </row>
    <row r="318" spans="2:2" x14ac:dyDescent="0.25">
      <c r="B318" t="s">
        <v>691</v>
      </c>
    </row>
    <row r="319" spans="2:2" x14ac:dyDescent="0.25">
      <c r="B319" t="s">
        <v>692</v>
      </c>
    </row>
    <row r="320" spans="2:2" x14ac:dyDescent="0.25">
      <c r="B320" t="s">
        <v>693</v>
      </c>
    </row>
    <row r="321" spans="2:2" x14ac:dyDescent="0.25">
      <c r="B321" t="s">
        <v>694</v>
      </c>
    </row>
    <row r="322" spans="2:2" x14ac:dyDescent="0.25">
      <c r="B322" t="s">
        <v>695</v>
      </c>
    </row>
    <row r="323" spans="2:2" x14ac:dyDescent="0.25">
      <c r="B323" t="s">
        <v>696</v>
      </c>
    </row>
    <row r="324" spans="2:2" x14ac:dyDescent="0.25">
      <c r="B324" t="s">
        <v>697</v>
      </c>
    </row>
    <row r="325" spans="2:2" x14ac:dyDescent="0.25">
      <c r="B325" t="s">
        <v>699</v>
      </c>
    </row>
    <row r="326" spans="2:2" x14ac:dyDescent="0.25">
      <c r="B326" t="s">
        <v>700</v>
      </c>
    </row>
    <row r="327" spans="2:2" x14ac:dyDescent="0.25">
      <c r="B327" t="s">
        <v>701</v>
      </c>
    </row>
    <row r="328" spans="2:2" x14ac:dyDescent="0.25">
      <c r="B328" t="s">
        <v>702</v>
      </c>
    </row>
    <row r="329" spans="2:2" x14ac:dyDescent="0.25">
      <c r="B329" t="s">
        <v>703</v>
      </c>
    </row>
    <row r="330" spans="2:2" x14ac:dyDescent="0.25">
      <c r="B330" t="s">
        <v>704</v>
      </c>
    </row>
    <row r="331" spans="2:2" x14ac:dyDescent="0.25">
      <c r="B331" t="s">
        <v>705</v>
      </c>
    </row>
    <row r="332" spans="2:2" x14ac:dyDescent="0.25">
      <c r="B332" t="s">
        <v>706</v>
      </c>
    </row>
    <row r="333" spans="2:2" x14ac:dyDescent="0.25">
      <c r="B333" t="s">
        <v>707</v>
      </c>
    </row>
    <row r="334" spans="2:2" x14ac:dyDescent="0.25">
      <c r="B334" t="s">
        <v>708</v>
      </c>
    </row>
    <row r="335" spans="2:2" x14ac:dyDescent="0.25">
      <c r="B335" t="s">
        <v>709</v>
      </c>
    </row>
    <row r="336" spans="2:2" x14ac:dyDescent="0.25">
      <c r="B336" t="s">
        <v>710</v>
      </c>
    </row>
    <row r="337" spans="2:2" x14ac:dyDescent="0.25">
      <c r="B337" t="s">
        <v>711</v>
      </c>
    </row>
    <row r="338" spans="2:2" x14ac:dyDescent="0.25">
      <c r="B338" t="s">
        <v>712</v>
      </c>
    </row>
    <row r="339" spans="2:2" x14ac:dyDescent="0.25">
      <c r="B339" t="s">
        <v>713</v>
      </c>
    </row>
    <row r="340" spans="2:2" x14ac:dyDescent="0.25">
      <c r="B340" t="s">
        <v>714</v>
      </c>
    </row>
    <row r="341" spans="2:2" x14ac:dyDescent="0.25">
      <c r="B341" t="s">
        <v>715</v>
      </c>
    </row>
    <row r="342" spans="2:2" x14ac:dyDescent="0.25">
      <c r="B342" t="s">
        <v>716</v>
      </c>
    </row>
    <row r="343" spans="2:2" x14ac:dyDescent="0.25">
      <c r="B343" t="s">
        <v>717</v>
      </c>
    </row>
    <row r="344" spans="2:2" x14ac:dyDescent="0.25">
      <c r="B344" t="s">
        <v>718</v>
      </c>
    </row>
    <row r="345" spans="2:2" x14ac:dyDescent="0.25">
      <c r="B345" t="s">
        <v>719</v>
      </c>
    </row>
    <row r="346" spans="2:2" x14ac:dyDescent="0.25">
      <c r="B346" t="s">
        <v>720</v>
      </c>
    </row>
    <row r="347" spans="2:2" x14ac:dyDescent="0.25">
      <c r="B347" t="s">
        <v>721</v>
      </c>
    </row>
    <row r="348" spans="2:2" x14ac:dyDescent="0.25">
      <c r="B348" t="s">
        <v>722</v>
      </c>
    </row>
    <row r="349" spans="2:2" x14ac:dyDescent="0.25">
      <c r="B349" t="s">
        <v>723</v>
      </c>
    </row>
    <row r="350" spans="2:2" x14ac:dyDescent="0.25">
      <c r="B350" t="s">
        <v>724</v>
      </c>
    </row>
    <row r="351" spans="2:2" x14ac:dyDescent="0.25">
      <c r="B351" t="s">
        <v>725</v>
      </c>
    </row>
    <row r="352" spans="2:2" x14ac:dyDescent="0.25">
      <c r="B352" t="s">
        <v>726</v>
      </c>
    </row>
    <row r="353" spans="2:2" x14ac:dyDescent="0.25">
      <c r="B353" t="s">
        <v>727</v>
      </c>
    </row>
    <row r="354" spans="2:2" x14ac:dyDescent="0.25">
      <c r="B354" t="s">
        <v>728</v>
      </c>
    </row>
    <row r="355" spans="2:2" x14ac:dyDescent="0.25">
      <c r="B355" t="s">
        <v>731</v>
      </c>
    </row>
    <row r="356" spans="2:2" x14ac:dyDescent="0.25">
      <c r="B356" t="s">
        <v>732</v>
      </c>
    </row>
    <row r="357" spans="2:2" x14ac:dyDescent="0.25">
      <c r="B357" t="s">
        <v>733</v>
      </c>
    </row>
    <row r="358" spans="2:2" x14ac:dyDescent="0.25">
      <c r="B358" t="s">
        <v>734</v>
      </c>
    </row>
    <row r="359" spans="2:2" x14ac:dyDescent="0.25">
      <c r="B359" t="s">
        <v>735</v>
      </c>
    </row>
    <row r="360" spans="2:2" x14ac:dyDescent="0.25">
      <c r="B360" t="s">
        <v>736</v>
      </c>
    </row>
    <row r="361" spans="2:2" x14ac:dyDescent="0.25">
      <c r="B361" t="s">
        <v>737</v>
      </c>
    </row>
    <row r="362" spans="2:2" x14ac:dyDescent="0.25">
      <c r="B362" t="s">
        <v>738</v>
      </c>
    </row>
    <row r="363" spans="2:2" x14ac:dyDescent="0.25">
      <c r="B363" t="s">
        <v>739</v>
      </c>
    </row>
    <row r="364" spans="2:2" x14ac:dyDescent="0.25">
      <c r="B364" t="s">
        <v>740</v>
      </c>
    </row>
    <row r="365" spans="2:2" x14ac:dyDescent="0.25">
      <c r="B365" t="s">
        <v>741</v>
      </c>
    </row>
    <row r="366" spans="2:2" x14ac:dyDescent="0.25">
      <c r="B366" t="s">
        <v>742</v>
      </c>
    </row>
    <row r="367" spans="2:2" x14ac:dyDescent="0.25">
      <c r="B367" t="s">
        <v>743</v>
      </c>
    </row>
    <row r="368" spans="2:2" x14ac:dyDescent="0.25">
      <c r="B368" t="s">
        <v>744</v>
      </c>
    </row>
    <row r="369" spans="2:2" x14ac:dyDescent="0.25">
      <c r="B369" t="s">
        <v>745</v>
      </c>
    </row>
    <row r="370" spans="2:2" x14ac:dyDescent="0.25">
      <c r="B370" t="s">
        <v>746</v>
      </c>
    </row>
    <row r="371" spans="2:2" x14ac:dyDescent="0.25">
      <c r="B371" t="s">
        <v>747</v>
      </c>
    </row>
    <row r="372" spans="2:2" x14ac:dyDescent="0.25">
      <c r="B372" t="s">
        <v>748</v>
      </c>
    </row>
    <row r="373" spans="2:2" x14ac:dyDescent="0.25">
      <c r="B373" t="s">
        <v>749</v>
      </c>
    </row>
    <row r="374" spans="2:2" x14ac:dyDescent="0.25">
      <c r="B374" t="s">
        <v>750</v>
      </c>
    </row>
    <row r="375" spans="2:2" x14ac:dyDescent="0.25">
      <c r="B375" t="s">
        <v>751</v>
      </c>
    </row>
    <row r="376" spans="2:2" x14ac:dyDescent="0.25">
      <c r="B376" t="s">
        <v>752</v>
      </c>
    </row>
    <row r="377" spans="2:2" x14ac:dyDescent="0.25">
      <c r="B377" t="s">
        <v>71</v>
      </c>
    </row>
    <row r="378" spans="2:2" x14ac:dyDescent="0.25">
      <c r="B378" t="s">
        <v>754</v>
      </c>
    </row>
    <row r="379" spans="2:2" x14ac:dyDescent="0.25">
      <c r="B379" t="s">
        <v>755</v>
      </c>
    </row>
    <row r="380" spans="2:2" x14ac:dyDescent="0.25">
      <c r="B380" t="s">
        <v>756</v>
      </c>
    </row>
    <row r="381" spans="2:2" x14ac:dyDescent="0.25">
      <c r="B381" t="s">
        <v>757</v>
      </c>
    </row>
    <row r="382" spans="2:2" x14ac:dyDescent="0.25">
      <c r="B382" t="s">
        <v>760</v>
      </c>
    </row>
    <row r="383" spans="2:2" x14ac:dyDescent="0.25">
      <c r="B383" t="s">
        <v>761</v>
      </c>
    </row>
    <row r="384" spans="2:2" x14ac:dyDescent="0.25">
      <c r="B384" t="s">
        <v>762</v>
      </c>
    </row>
    <row r="385" spans="2:2" x14ac:dyDescent="0.25">
      <c r="B385" t="s">
        <v>764</v>
      </c>
    </row>
    <row r="386" spans="2:2" x14ac:dyDescent="0.25">
      <c r="B386" t="s">
        <v>168</v>
      </c>
    </row>
    <row r="387" spans="2:2" x14ac:dyDescent="0.25">
      <c r="B387" t="s">
        <v>766</v>
      </c>
    </row>
    <row r="388" spans="2:2" x14ac:dyDescent="0.25">
      <c r="B388" t="s">
        <v>770</v>
      </c>
    </row>
    <row r="389" spans="2:2" x14ac:dyDescent="0.25">
      <c r="B389" t="s">
        <v>772</v>
      </c>
    </row>
    <row r="390" spans="2:2" x14ac:dyDescent="0.25">
      <c r="B390" t="s">
        <v>773</v>
      </c>
    </row>
    <row r="391" spans="2:2" x14ac:dyDescent="0.25">
      <c r="B391" t="s">
        <v>775</v>
      </c>
    </row>
    <row r="392" spans="2:2" x14ac:dyDescent="0.25">
      <c r="B392" t="s">
        <v>239</v>
      </c>
    </row>
    <row r="393" spans="2:2" x14ac:dyDescent="0.25">
      <c r="B393" t="s">
        <v>776</v>
      </c>
    </row>
    <row r="394" spans="2:2" x14ac:dyDescent="0.25">
      <c r="B394" t="s">
        <v>48</v>
      </c>
    </row>
    <row r="395" spans="2:2" x14ac:dyDescent="0.25">
      <c r="B395" t="s">
        <v>778</v>
      </c>
    </row>
    <row r="396" spans="2:2" x14ac:dyDescent="0.25">
      <c r="B396" t="s">
        <v>362</v>
      </c>
    </row>
    <row r="397" spans="2:2" x14ac:dyDescent="0.25">
      <c r="B397" t="s">
        <v>781</v>
      </c>
    </row>
    <row r="398" spans="2:2" x14ac:dyDescent="0.25">
      <c r="B398" t="s">
        <v>783</v>
      </c>
    </row>
    <row r="399" spans="2:2" x14ac:dyDescent="0.25">
      <c r="B399" t="s">
        <v>784</v>
      </c>
    </row>
    <row r="400" spans="2:2" x14ac:dyDescent="0.25">
      <c r="B400" t="s">
        <v>786</v>
      </c>
    </row>
    <row r="401" spans="2:2" x14ac:dyDescent="0.25">
      <c r="B401" t="s">
        <v>787</v>
      </c>
    </row>
    <row r="402" spans="2:2" x14ac:dyDescent="0.25">
      <c r="B402" t="s">
        <v>789</v>
      </c>
    </row>
    <row r="403" spans="2:2" x14ac:dyDescent="0.25">
      <c r="B403" t="s">
        <v>790</v>
      </c>
    </row>
    <row r="404" spans="2:2" x14ac:dyDescent="0.25">
      <c r="B404" t="s">
        <v>791</v>
      </c>
    </row>
    <row r="405" spans="2:2" x14ac:dyDescent="0.25">
      <c r="B405" t="s">
        <v>793</v>
      </c>
    </row>
    <row r="406" spans="2:2" x14ac:dyDescent="0.25">
      <c r="B406" t="s">
        <v>794</v>
      </c>
    </row>
    <row r="407" spans="2:2" x14ac:dyDescent="0.25">
      <c r="B407" t="s">
        <v>795</v>
      </c>
    </row>
    <row r="408" spans="2:2" x14ac:dyDescent="0.25">
      <c r="B408" t="s">
        <v>797</v>
      </c>
    </row>
    <row r="409" spans="2:2" x14ac:dyDescent="0.25">
      <c r="B409" t="s">
        <v>800</v>
      </c>
    </row>
    <row r="410" spans="2:2" x14ac:dyDescent="0.25">
      <c r="B410" t="s">
        <v>801</v>
      </c>
    </row>
    <row r="411" spans="2:2" x14ac:dyDescent="0.25">
      <c r="B411" t="s">
        <v>802</v>
      </c>
    </row>
    <row r="412" spans="2:2" x14ac:dyDescent="0.25">
      <c r="B412" t="s">
        <v>803</v>
      </c>
    </row>
    <row r="413" spans="2:2" x14ac:dyDescent="0.25">
      <c r="B413" t="s">
        <v>805</v>
      </c>
    </row>
    <row r="414" spans="2:2" x14ac:dyDescent="0.25">
      <c r="B414" t="s">
        <v>807</v>
      </c>
    </row>
    <row r="415" spans="2:2" x14ac:dyDescent="0.25">
      <c r="B415" t="s">
        <v>808</v>
      </c>
    </row>
    <row r="416" spans="2:2" x14ac:dyDescent="0.25">
      <c r="B416" t="s">
        <v>810</v>
      </c>
    </row>
    <row r="417" spans="2:2" x14ac:dyDescent="0.25">
      <c r="B417" t="s">
        <v>812</v>
      </c>
    </row>
    <row r="418" spans="2:2" x14ac:dyDescent="0.25">
      <c r="B418" t="s">
        <v>814</v>
      </c>
    </row>
    <row r="419" spans="2:2" x14ac:dyDescent="0.25">
      <c r="B419" t="s">
        <v>45</v>
      </c>
    </row>
    <row r="420" spans="2:2" x14ac:dyDescent="0.25">
      <c r="B420" t="s">
        <v>818</v>
      </c>
    </row>
    <row r="421" spans="2:2" x14ac:dyDescent="0.25">
      <c r="B421" t="s">
        <v>820</v>
      </c>
    </row>
    <row r="422" spans="2:2" x14ac:dyDescent="0.25">
      <c r="B422" t="s">
        <v>822</v>
      </c>
    </row>
    <row r="423" spans="2:2" x14ac:dyDescent="0.25">
      <c r="B423" t="s">
        <v>824</v>
      </c>
    </row>
    <row r="424" spans="2:2" x14ac:dyDescent="0.25">
      <c r="B424" t="s">
        <v>827</v>
      </c>
    </row>
    <row r="425" spans="2:2" x14ac:dyDescent="0.25">
      <c r="B425" t="s">
        <v>1091</v>
      </c>
    </row>
    <row r="426" spans="2:2" x14ac:dyDescent="0.25">
      <c r="B426" t="s">
        <v>1092</v>
      </c>
    </row>
    <row r="427" spans="2:2" x14ac:dyDescent="0.25">
      <c r="B427" t="s">
        <v>1093</v>
      </c>
    </row>
    <row r="428" spans="2:2" x14ac:dyDescent="0.25">
      <c r="B428" t="s">
        <v>1094</v>
      </c>
    </row>
    <row r="429" spans="2:2" x14ac:dyDescent="0.25">
      <c r="B429" t="s">
        <v>1095</v>
      </c>
    </row>
    <row r="430" spans="2:2" x14ac:dyDescent="0.25">
      <c r="B430" t="s">
        <v>1096</v>
      </c>
    </row>
    <row r="431" spans="2:2" x14ac:dyDescent="0.25">
      <c r="B431" t="s">
        <v>1097</v>
      </c>
    </row>
    <row r="432" spans="2:2" x14ac:dyDescent="0.25">
      <c r="B432" t="s">
        <v>1098</v>
      </c>
    </row>
    <row r="433" spans="2:2" x14ac:dyDescent="0.25">
      <c r="B433" t="s">
        <v>1099</v>
      </c>
    </row>
    <row r="434" spans="2:2" x14ac:dyDescent="0.25">
      <c r="B434" t="s">
        <v>1100</v>
      </c>
    </row>
    <row r="435" spans="2:2" x14ac:dyDescent="0.25">
      <c r="B435" t="s">
        <v>1101</v>
      </c>
    </row>
    <row r="436" spans="2:2" x14ac:dyDescent="0.25">
      <c r="B436" t="s">
        <v>1102</v>
      </c>
    </row>
    <row r="437" spans="2:2" x14ac:dyDescent="0.25">
      <c r="B437" t="s">
        <v>1103</v>
      </c>
    </row>
    <row r="438" spans="2:2" x14ac:dyDescent="0.25">
      <c r="B438" t="s">
        <v>841</v>
      </c>
    </row>
    <row r="439" spans="2:2" x14ac:dyDescent="0.25">
      <c r="B439" t="s">
        <v>843</v>
      </c>
    </row>
    <row r="440" spans="2:2" x14ac:dyDescent="0.25">
      <c r="B440" t="s">
        <v>845</v>
      </c>
    </row>
    <row r="441" spans="2:2" x14ac:dyDescent="0.25">
      <c r="B441" t="s">
        <v>847</v>
      </c>
    </row>
    <row r="442" spans="2:2" x14ac:dyDescent="0.25">
      <c r="B442" t="s">
        <v>849</v>
      </c>
    </row>
    <row r="443" spans="2:2" x14ac:dyDescent="0.25">
      <c r="B443" t="s">
        <v>854</v>
      </c>
    </row>
    <row r="444" spans="2:2" x14ac:dyDescent="0.25">
      <c r="B444" t="s">
        <v>855</v>
      </c>
    </row>
    <row r="445" spans="2:2" x14ac:dyDescent="0.25">
      <c r="B445" t="s">
        <v>856</v>
      </c>
    </row>
    <row r="446" spans="2:2" x14ac:dyDescent="0.25">
      <c r="B446" t="s">
        <v>857</v>
      </c>
    </row>
    <row r="447" spans="2:2" x14ac:dyDescent="0.25">
      <c r="B447" t="s">
        <v>858</v>
      </c>
    </row>
    <row r="448" spans="2:2" x14ac:dyDescent="0.25">
      <c r="B448" t="s">
        <v>859</v>
      </c>
    </row>
    <row r="449" spans="2:2" x14ac:dyDescent="0.25">
      <c r="B449" t="s">
        <v>860</v>
      </c>
    </row>
    <row r="450" spans="2:2" x14ac:dyDescent="0.25">
      <c r="B450" t="s">
        <v>862</v>
      </c>
    </row>
    <row r="451" spans="2:2" x14ac:dyDescent="0.25">
      <c r="B451" t="s">
        <v>863</v>
      </c>
    </row>
    <row r="452" spans="2:2" x14ac:dyDescent="0.25">
      <c r="B452" t="s">
        <v>864</v>
      </c>
    </row>
    <row r="453" spans="2:2" x14ac:dyDescent="0.25">
      <c r="B453" t="s">
        <v>865</v>
      </c>
    </row>
    <row r="454" spans="2:2" x14ac:dyDescent="0.25">
      <c r="B454" t="s">
        <v>866</v>
      </c>
    </row>
    <row r="455" spans="2:2" x14ac:dyDescent="0.25">
      <c r="B455" t="s">
        <v>867</v>
      </c>
    </row>
    <row r="456" spans="2:2" x14ac:dyDescent="0.25">
      <c r="B456" t="s">
        <v>868</v>
      </c>
    </row>
    <row r="457" spans="2:2" x14ac:dyDescent="0.25">
      <c r="B457" t="s">
        <v>869</v>
      </c>
    </row>
    <row r="458" spans="2:2" x14ac:dyDescent="0.25">
      <c r="B458" t="s">
        <v>870</v>
      </c>
    </row>
    <row r="459" spans="2:2" x14ac:dyDescent="0.25">
      <c r="B459" t="s">
        <v>872</v>
      </c>
    </row>
    <row r="460" spans="2:2" x14ac:dyDescent="0.25">
      <c r="B460" t="s">
        <v>1104</v>
      </c>
    </row>
    <row r="461" spans="2:2" x14ac:dyDescent="0.25">
      <c r="B461" t="s">
        <v>1105</v>
      </c>
    </row>
    <row r="462" spans="2:2" x14ac:dyDescent="0.25">
      <c r="B462" t="s">
        <v>1106</v>
      </c>
    </row>
    <row r="463" spans="2:2" x14ac:dyDescent="0.25">
      <c r="B463" t="s">
        <v>1107</v>
      </c>
    </row>
    <row r="464" spans="2:2" x14ac:dyDescent="0.25">
      <c r="B464" t="s">
        <v>1108</v>
      </c>
    </row>
    <row r="465" spans="2:2" x14ac:dyDescent="0.25">
      <c r="B465" t="s">
        <v>1109</v>
      </c>
    </row>
    <row r="466" spans="2:2" x14ac:dyDescent="0.25">
      <c r="B466" t="s">
        <v>1110</v>
      </c>
    </row>
    <row r="467" spans="2:2" x14ac:dyDescent="0.25">
      <c r="B467" t="s">
        <v>886</v>
      </c>
    </row>
    <row r="468" spans="2:2" x14ac:dyDescent="0.25">
      <c r="B468" t="s">
        <v>79</v>
      </c>
    </row>
    <row r="469" spans="2:2" x14ac:dyDescent="0.25">
      <c r="B469" t="s">
        <v>162</v>
      </c>
    </row>
    <row r="470" spans="2:2" x14ac:dyDescent="0.25">
      <c r="B470" t="s">
        <v>1111</v>
      </c>
    </row>
    <row r="471" spans="2:2" x14ac:dyDescent="0.25">
      <c r="B471" t="s">
        <v>1112</v>
      </c>
    </row>
    <row r="472" spans="2:2" x14ac:dyDescent="0.25">
      <c r="B472" t="s">
        <v>1113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95e41eb-aa79-4ea4-82f9-7d6ba160a6e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F5717C2FD43E4E8D4B72806C387A17" ma:contentTypeVersion="16" ma:contentTypeDescription="Crée un document." ma:contentTypeScope="" ma:versionID="b1de48e9fc544e59bcc196def88b31ce">
  <xsd:schema xmlns:xsd="http://www.w3.org/2001/XMLSchema" xmlns:xs="http://www.w3.org/2001/XMLSchema" xmlns:p="http://schemas.microsoft.com/office/2006/metadata/properties" xmlns:ns3="895e41eb-aa79-4ea4-82f9-7d6ba160a6eb" xmlns:ns4="1c783c05-4250-4c68-8a18-4a7cc87b4624" targetNamespace="http://schemas.microsoft.com/office/2006/metadata/properties" ma:root="true" ma:fieldsID="74a50b661878b1947f603d6a4b7d1c0d" ns3:_="" ns4:_="">
    <xsd:import namespace="895e41eb-aa79-4ea4-82f9-7d6ba160a6eb"/>
    <xsd:import namespace="1c783c05-4250-4c68-8a18-4a7cc87b462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5e41eb-aa79-4ea4-82f9-7d6ba160a6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83c05-4250-4c68-8a18-4a7cc87b462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775E52-4EEB-46A4-B627-1D20459478B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4514629-B0A5-40DB-BF41-DC319D74A1E5}">
  <ds:schemaRefs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http://schemas.microsoft.com/office/2006/metadata/properties"/>
    <ds:schemaRef ds:uri="http://purl.org/dc/elements/1.1/"/>
    <ds:schemaRef ds:uri="895e41eb-aa79-4ea4-82f9-7d6ba160a6eb"/>
    <ds:schemaRef ds:uri="1c783c05-4250-4c68-8a18-4a7cc87b4624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925A3E91-0C68-47E5-9CFB-FE308B82567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FC76DC5-BBEA-44AE-8BE7-D666FEEF0F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5e41eb-aa79-4ea4-82f9-7d6ba160a6eb"/>
    <ds:schemaRef ds:uri="1c783c05-4250-4c68-8a18-4a7cc87b46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19</vt:i4>
      </vt:variant>
      <vt:variant>
        <vt:lpstr>Plages nommées</vt:lpstr>
      </vt:variant>
      <vt:variant>
        <vt:i4>4</vt:i4>
      </vt:variant>
    </vt:vector>
  </HeadingPairs>
  <TitlesOfParts>
    <vt:vector size="23" baseType="lpstr">
      <vt:lpstr>B2026</vt:lpstr>
      <vt:lpstr>DRAFT - KPI's MANUTENTION ET AG</vt:lpstr>
      <vt:lpstr>KPI_VENDEUR 1</vt:lpstr>
      <vt:lpstr>KPI_VENDEUR 2</vt:lpstr>
      <vt:lpstr>KPI_VENDEUR 3</vt:lpstr>
      <vt:lpstr>KPI_VENDEUR 4</vt:lpstr>
      <vt:lpstr>KPI_VENDEUR 5</vt:lpstr>
      <vt:lpstr>VISITES CLIENTS</vt:lpstr>
      <vt:lpstr>ETAT_VENTES</vt:lpstr>
      <vt:lpstr>ETAT_CC</vt:lpstr>
      <vt:lpstr>ETAT_CF</vt:lpstr>
      <vt:lpstr>ETAT-Stock</vt:lpstr>
      <vt:lpstr>Pipe Opportunité</vt:lpstr>
      <vt:lpstr>Lost Sales</vt:lpstr>
      <vt:lpstr>EXAMEN SEPT 2025</vt:lpstr>
      <vt:lpstr>SN</vt:lpstr>
      <vt:lpstr>FORECAST</vt:lpstr>
      <vt:lpstr>Plan d'action</vt:lpstr>
      <vt:lpstr>LISTE</vt:lpstr>
      <vt:lpstr>FORECAST!Impression_des_titres</vt:lpstr>
      <vt:lpstr>'Pipe Opportunité'!Impression_des_titres</vt:lpstr>
      <vt:lpstr>FORECAST!Zone_d_impression</vt:lpstr>
      <vt:lpstr>'VISITES CLIENTS'!Zone_d_impression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Wilfried CHEBOU</dc:creator>
  <cp:keywords/>
  <dc:description/>
  <cp:lastModifiedBy>hp</cp:lastModifiedBy>
  <cp:revision/>
  <cp:lastPrinted>2025-12-09T09:22:26Z</cp:lastPrinted>
  <dcterms:created xsi:type="dcterms:W3CDTF">2020-12-08T18:01:28Z</dcterms:created>
  <dcterms:modified xsi:type="dcterms:W3CDTF">2025-12-09T20:07:00Z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0x01010021F5717C2FD43E4E8D4B72806C387A17</vt:lpwstr>
  </property>
</Properties>
</file>